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10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20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2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+Master Std\++++Mohammed Ghrram\"/>
    </mc:Choice>
  </mc:AlternateContent>
  <bookViews>
    <workbookView xWindow="-120" yWindow="-120" windowWidth="20730" windowHeight="11160"/>
  </bookViews>
  <sheets>
    <sheet name="Enrichment Factor" sheetId="13" r:id="rId1"/>
    <sheet name="dist" sheetId="19" r:id="rId2"/>
    <sheet name="colration x" sheetId="18" r:id="rId3"/>
    <sheet name="Fe" sheetId="1" state="hidden" r:id="rId4"/>
    <sheet name="zn" sheetId="2" state="hidden" r:id="rId5"/>
    <sheet name="cu" sheetId="3" state="hidden" r:id="rId6"/>
    <sheet name="cr" sheetId="4" state="hidden" r:id="rId7"/>
    <sheet name="Co" sheetId="5" state="hidden" r:id="rId8"/>
    <sheet name="ni" sheetId="6" state="hidden" r:id="rId9"/>
    <sheet name="Cd" sheetId="7" state="hidden" r:id="rId10"/>
    <sheet name="Mn" sheetId="8" state="hidden" r:id="rId11"/>
    <sheet name="Pb" sheetId="9" state="hidden" r:id="rId12"/>
    <sheet name="LOCATION" sheetId="14" r:id="rId13"/>
    <sheet name="Factor Analysis" sheetId="15" r:id="rId1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1" i="19" l="1"/>
  <c r="N50" i="19"/>
  <c r="N49" i="19"/>
  <c r="J49" i="19"/>
  <c r="O48" i="19"/>
  <c r="N48" i="19"/>
  <c r="J48" i="19"/>
  <c r="P46" i="19"/>
  <c r="F46" i="19"/>
  <c r="H46" i="19" s="1"/>
  <c r="P45" i="19"/>
  <c r="F45" i="19"/>
  <c r="H45" i="19" s="1"/>
  <c r="P44" i="19"/>
  <c r="F44" i="19"/>
  <c r="H44" i="19" s="1"/>
  <c r="P43" i="19"/>
  <c r="F43" i="19"/>
  <c r="H43" i="19" s="1"/>
  <c r="P42" i="19"/>
  <c r="F42" i="19"/>
  <c r="H42" i="19" s="1"/>
  <c r="P41" i="19"/>
  <c r="F41" i="19"/>
  <c r="H41" i="19" s="1"/>
  <c r="P40" i="19"/>
  <c r="F40" i="19"/>
  <c r="H40" i="19" s="1"/>
  <c r="P39" i="19"/>
  <c r="F39" i="19"/>
  <c r="H39" i="19" s="1"/>
  <c r="P38" i="19"/>
  <c r="F38" i="19"/>
  <c r="H38" i="19" s="1"/>
  <c r="P37" i="19"/>
  <c r="F37" i="19"/>
  <c r="H37" i="19" s="1"/>
  <c r="P36" i="19"/>
  <c r="F36" i="19"/>
  <c r="H36" i="19" s="1"/>
  <c r="P35" i="19"/>
  <c r="F35" i="19"/>
  <c r="H35" i="19" s="1"/>
  <c r="P34" i="19"/>
  <c r="F34" i="19"/>
  <c r="H34" i="19" s="1"/>
  <c r="P33" i="19"/>
  <c r="F33" i="19"/>
  <c r="H33" i="19" s="1"/>
  <c r="P32" i="19"/>
  <c r="F32" i="19"/>
  <c r="H32" i="19" s="1"/>
  <c r="O31" i="19"/>
  <c r="P31" i="19" s="1"/>
  <c r="I31" i="19"/>
  <c r="H31" i="19"/>
  <c r="F31" i="19"/>
  <c r="P30" i="19"/>
  <c r="I30" i="19"/>
  <c r="H30" i="19"/>
  <c r="F30" i="19"/>
  <c r="P29" i="19"/>
  <c r="I29" i="19"/>
  <c r="H29" i="19"/>
  <c r="F29" i="19"/>
  <c r="P28" i="19"/>
  <c r="I28" i="19"/>
  <c r="H28" i="19"/>
  <c r="F28" i="19"/>
  <c r="P27" i="19"/>
  <c r="I27" i="19"/>
  <c r="H27" i="19"/>
  <c r="F27" i="19"/>
  <c r="F26" i="19"/>
  <c r="I26" i="19" s="1"/>
  <c r="P25" i="19"/>
  <c r="F25" i="19"/>
  <c r="I25" i="19" s="1"/>
  <c r="P24" i="19"/>
  <c r="F24" i="19"/>
  <c r="I24" i="19" s="1"/>
  <c r="P23" i="19"/>
  <c r="F23" i="19"/>
  <c r="I23" i="19" s="1"/>
  <c r="P22" i="19"/>
  <c r="F22" i="19"/>
  <c r="I22" i="19" s="1"/>
  <c r="P21" i="19"/>
  <c r="F21" i="19"/>
  <c r="I21" i="19" s="1"/>
  <c r="P20" i="19"/>
  <c r="F20" i="19"/>
  <c r="I20" i="19" s="1"/>
  <c r="P19" i="19"/>
  <c r="F19" i="19"/>
  <c r="I19" i="19" s="1"/>
  <c r="P18" i="19"/>
  <c r="F18" i="19"/>
  <c r="I18" i="19" s="1"/>
  <c r="P17" i="19"/>
  <c r="G17" i="19"/>
  <c r="F17" i="19" s="1"/>
  <c r="P16" i="19"/>
  <c r="I16" i="19"/>
  <c r="H16" i="19"/>
  <c r="G16" i="19"/>
  <c r="F16" i="19"/>
  <c r="P15" i="19"/>
  <c r="I15" i="19"/>
  <c r="G15" i="19"/>
  <c r="F15" i="19"/>
  <c r="H15" i="19" s="1"/>
  <c r="P14" i="19"/>
  <c r="G14" i="19"/>
  <c r="F14" i="19"/>
  <c r="I14" i="19" s="1"/>
  <c r="P13" i="19"/>
  <c r="G13" i="19"/>
  <c r="F13" i="19" s="1"/>
  <c r="P12" i="19"/>
  <c r="I12" i="19"/>
  <c r="H12" i="19"/>
  <c r="G12" i="19"/>
  <c r="F12" i="19"/>
  <c r="P11" i="19"/>
  <c r="I11" i="19"/>
  <c r="G11" i="19"/>
  <c r="F11" i="19"/>
  <c r="H11" i="19" s="1"/>
  <c r="P10" i="19"/>
  <c r="G10" i="19"/>
  <c r="F10" i="19"/>
  <c r="I10" i="19" s="1"/>
  <c r="P9" i="19"/>
  <c r="G9" i="19"/>
  <c r="F9" i="19" s="1"/>
  <c r="P8" i="19"/>
  <c r="I8" i="19"/>
  <c r="H8" i="19"/>
  <c r="G8" i="19"/>
  <c r="F8" i="19"/>
  <c r="P7" i="19"/>
  <c r="I7" i="19"/>
  <c r="G7" i="19"/>
  <c r="F7" i="19"/>
  <c r="H7" i="19" s="1"/>
  <c r="P6" i="19"/>
  <c r="G6" i="19"/>
  <c r="F6" i="19"/>
  <c r="I6" i="19" s="1"/>
  <c r="P5" i="19"/>
  <c r="G5" i="19"/>
  <c r="F5" i="19" s="1"/>
  <c r="P4" i="19"/>
  <c r="I4" i="19"/>
  <c r="H4" i="19"/>
  <c r="G4" i="19"/>
  <c r="F4" i="19"/>
  <c r="P3" i="19"/>
  <c r="I3" i="19"/>
  <c r="G3" i="19"/>
  <c r="F3" i="19"/>
  <c r="H3" i="19" s="1"/>
  <c r="I9" i="19" l="1"/>
  <c r="H9" i="19"/>
  <c r="I17" i="19"/>
  <c r="H17" i="19"/>
  <c r="I13" i="19"/>
  <c r="H13" i="19"/>
  <c r="I5" i="19"/>
  <c r="I51" i="19" s="1"/>
  <c r="H5" i="19"/>
  <c r="H50" i="19" s="1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H18" i="19"/>
  <c r="H19" i="19"/>
  <c r="H20" i="19"/>
  <c r="H21" i="19"/>
  <c r="H22" i="19"/>
  <c r="H23" i="19"/>
  <c r="H24" i="19"/>
  <c r="H25" i="19"/>
  <c r="H26" i="19"/>
  <c r="I48" i="19"/>
  <c r="O49" i="19"/>
  <c r="O50" i="19"/>
  <c r="O51" i="19"/>
  <c r="H6" i="19"/>
  <c r="H48" i="19" s="1"/>
  <c r="H10" i="19"/>
  <c r="H14" i="19"/>
  <c r="I50" i="19"/>
  <c r="H51" i="19" l="1"/>
  <c r="H49" i="19"/>
  <c r="I49" i="19"/>
  <c r="AB45" i="13" l="1"/>
  <c r="AA45" i="13"/>
  <c r="Z45" i="13"/>
  <c r="Y45" i="13"/>
  <c r="X45" i="13"/>
  <c r="W45" i="13"/>
  <c r="V45" i="13"/>
  <c r="U45" i="13"/>
  <c r="T45" i="13"/>
  <c r="AH45" i="13" s="1"/>
  <c r="AB46" i="13"/>
  <c r="AA46" i="13"/>
  <c r="Z46" i="13"/>
  <c r="Y46" i="13"/>
  <c r="X46" i="13"/>
  <c r="W46" i="13"/>
  <c r="V46" i="13"/>
  <c r="U46" i="13"/>
  <c r="AB44" i="13"/>
  <c r="AA44" i="13"/>
  <c r="Z44" i="13"/>
  <c r="Y44" i="13"/>
  <c r="X44" i="13"/>
  <c r="W44" i="13"/>
  <c r="V44" i="13"/>
  <c r="U44" i="13"/>
  <c r="AB43" i="13"/>
  <c r="AA43" i="13"/>
  <c r="Z43" i="13"/>
  <c r="Y43" i="13"/>
  <c r="X43" i="13"/>
  <c r="W43" i="13"/>
  <c r="V43" i="13"/>
  <c r="U43" i="13"/>
  <c r="AB42" i="13"/>
  <c r="AA42" i="13"/>
  <c r="Z42" i="13"/>
  <c r="Y42" i="13"/>
  <c r="X42" i="13"/>
  <c r="W42" i="13"/>
  <c r="V42" i="13"/>
  <c r="U42" i="13"/>
  <c r="AB41" i="13"/>
  <c r="AA41" i="13"/>
  <c r="Z41" i="13"/>
  <c r="Y41" i="13"/>
  <c r="X41" i="13"/>
  <c r="W41" i="13"/>
  <c r="V41" i="13"/>
  <c r="U41" i="13"/>
  <c r="AB40" i="13"/>
  <c r="AA40" i="13"/>
  <c r="Z40" i="13"/>
  <c r="Y40" i="13"/>
  <c r="X40" i="13"/>
  <c r="W40" i="13"/>
  <c r="V40" i="13"/>
  <c r="U40" i="13"/>
  <c r="AB39" i="13"/>
  <c r="AA39" i="13"/>
  <c r="Z39" i="13"/>
  <c r="Y39" i="13"/>
  <c r="X39" i="13"/>
  <c r="W39" i="13"/>
  <c r="V39" i="13"/>
  <c r="U39" i="13"/>
  <c r="AB38" i="13"/>
  <c r="AA38" i="13"/>
  <c r="Z38" i="13"/>
  <c r="Y38" i="13"/>
  <c r="X38" i="13"/>
  <c r="W38" i="13"/>
  <c r="V38" i="13"/>
  <c r="U38" i="13"/>
  <c r="AB37" i="13"/>
  <c r="AA37" i="13"/>
  <c r="Z37" i="13"/>
  <c r="Y37" i="13"/>
  <c r="X37" i="13"/>
  <c r="W37" i="13"/>
  <c r="V37" i="13"/>
  <c r="U37" i="13"/>
  <c r="AB36" i="13"/>
  <c r="AA36" i="13"/>
  <c r="Z36" i="13"/>
  <c r="Y36" i="13"/>
  <c r="X36" i="13"/>
  <c r="W36" i="13"/>
  <c r="V36" i="13"/>
  <c r="U36" i="13"/>
  <c r="AB35" i="13"/>
  <c r="AA35" i="13"/>
  <c r="Z35" i="13"/>
  <c r="Y35" i="13"/>
  <c r="X35" i="13"/>
  <c r="W35" i="13"/>
  <c r="V35" i="13"/>
  <c r="U35" i="13"/>
  <c r="AB34" i="13"/>
  <c r="AA34" i="13"/>
  <c r="Z34" i="13"/>
  <c r="Y34" i="13"/>
  <c r="X34" i="13"/>
  <c r="W34" i="13"/>
  <c r="V34" i="13"/>
  <c r="U34" i="13"/>
  <c r="AB33" i="13"/>
  <c r="AA33" i="13"/>
  <c r="Z33" i="13"/>
  <c r="Y33" i="13"/>
  <c r="X33" i="13"/>
  <c r="W33" i="13"/>
  <c r="V33" i="13"/>
  <c r="U33" i="13"/>
  <c r="AB32" i="13"/>
  <c r="AA32" i="13"/>
  <c r="Z32" i="13"/>
  <c r="Y32" i="13"/>
  <c r="X32" i="13"/>
  <c r="W32" i="13"/>
  <c r="V32" i="13"/>
  <c r="U32" i="13"/>
  <c r="AB31" i="13"/>
  <c r="AA31" i="13"/>
  <c r="Z31" i="13"/>
  <c r="Y31" i="13"/>
  <c r="X31" i="13"/>
  <c r="W31" i="13"/>
  <c r="V31" i="13"/>
  <c r="U31" i="13"/>
  <c r="AB30" i="13"/>
  <c r="AA30" i="13"/>
  <c r="Z30" i="13"/>
  <c r="Y30" i="13"/>
  <c r="X30" i="13"/>
  <c r="W30" i="13"/>
  <c r="V30" i="13"/>
  <c r="U30" i="13"/>
  <c r="AB29" i="13"/>
  <c r="AA29" i="13"/>
  <c r="Z29" i="13"/>
  <c r="Y29" i="13"/>
  <c r="X29" i="13"/>
  <c r="W29" i="13"/>
  <c r="V29" i="13"/>
  <c r="U29" i="13"/>
  <c r="AB28" i="13"/>
  <c r="AA28" i="13"/>
  <c r="Z28" i="13"/>
  <c r="Y28" i="13"/>
  <c r="X28" i="13"/>
  <c r="W28" i="13"/>
  <c r="V28" i="13"/>
  <c r="U28" i="13"/>
  <c r="AB27" i="13"/>
  <c r="AA27" i="13"/>
  <c r="Z27" i="13"/>
  <c r="Y27" i="13"/>
  <c r="X27" i="13"/>
  <c r="W27" i="13"/>
  <c r="V27" i="13"/>
  <c r="U27" i="13"/>
  <c r="AB26" i="13"/>
  <c r="AA26" i="13"/>
  <c r="Z26" i="13"/>
  <c r="Y26" i="13"/>
  <c r="X26" i="13"/>
  <c r="W26" i="13"/>
  <c r="V26" i="13"/>
  <c r="U26" i="13"/>
  <c r="AB25" i="13"/>
  <c r="AA25" i="13"/>
  <c r="Z25" i="13"/>
  <c r="Y25" i="13"/>
  <c r="X25" i="13"/>
  <c r="W25" i="13"/>
  <c r="V25" i="13"/>
  <c r="U25" i="13"/>
  <c r="AB24" i="13"/>
  <c r="AA24" i="13"/>
  <c r="Z24" i="13"/>
  <c r="Y24" i="13"/>
  <c r="X24" i="13"/>
  <c r="W24" i="13"/>
  <c r="V24" i="13"/>
  <c r="U24" i="13"/>
  <c r="AB23" i="13"/>
  <c r="AA23" i="13"/>
  <c r="Z23" i="13"/>
  <c r="Y23" i="13"/>
  <c r="X23" i="13"/>
  <c r="W23" i="13"/>
  <c r="V23" i="13"/>
  <c r="U23" i="13"/>
  <c r="AB22" i="13"/>
  <c r="AA22" i="13"/>
  <c r="Z22" i="13"/>
  <c r="Y22" i="13"/>
  <c r="X22" i="13"/>
  <c r="W22" i="13"/>
  <c r="V22" i="13"/>
  <c r="U22" i="13"/>
  <c r="AB21" i="13"/>
  <c r="AA21" i="13"/>
  <c r="Z21" i="13"/>
  <c r="Y21" i="13"/>
  <c r="X21" i="13"/>
  <c r="W21" i="13"/>
  <c r="V21" i="13"/>
  <c r="U21" i="13"/>
  <c r="AB20" i="13"/>
  <c r="AA20" i="13"/>
  <c r="Z20" i="13"/>
  <c r="Y20" i="13"/>
  <c r="X20" i="13"/>
  <c r="W20" i="13"/>
  <c r="V20" i="13"/>
  <c r="U20" i="13"/>
  <c r="AB19" i="13"/>
  <c r="AA19" i="13"/>
  <c r="Z19" i="13"/>
  <c r="Y19" i="13"/>
  <c r="X19" i="13"/>
  <c r="W19" i="13"/>
  <c r="V19" i="13"/>
  <c r="U19" i="13"/>
  <c r="AB18" i="13"/>
  <c r="AA18" i="13"/>
  <c r="Z18" i="13"/>
  <c r="Y18" i="13"/>
  <c r="X18" i="13"/>
  <c r="W18" i="13"/>
  <c r="V18" i="13"/>
  <c r="U18" i="13"/>
  <c r="AB17" i="13"/>
  <c r="AA17" i="13"/>
  <c r="Z17" i="13"/>
  <c r="Y17" i="13"/>
  <c r="X17" i="13"/>
  <c r="W17" i="13"/>
  <c r="V17" i="13"/>
  <c r="U17" i="13"/>
  <c r="AB16" i="13"/>
  <c r="AA16" i="13"/>
  <c r="Z16" i="13"/>
  <c r="Y16" i="13"/>
  <c r="X16" i="13"/>
  <c r="W16" i="13"/>
  <c r="V16" i="13"/>
  <c r="U16" i="13"/>
  <c r="AB15" i="13"/>
  <c r="AA15" i="13"/>
  <c r="Z15" i="13"/>
  <c r="Y15" i="13"/>
  <c r="X15" i="13"/>
  <c r="W15" i="13"/>
  <c r="V15" i="13"/>
  <c r="U15" i="13"/>
  <c r="AB14" i="13"/>
  <c r="AA14" i="13"/>
  <c r="Z14" i="13"/>
  <c r="Y14" i="13"/>
  <c r="X14" i="13"/>
  <c r="W14" i="13"/>
  <c r="V14" i="13"/>
  <c r="U14" i="13"/>
  <c r="AB13" i="13"/>
  <c r="AA13" i="13"/>
  <c r="Z13" i="13"/>
  <c r="Y13" i="13"/>
  <c r="X13" i="13"/>
  <c r="W13" i="13"/>
  <c r="V13" i="13"/>
  <c r="U13" i="13"/>
  <c r="AB12" i="13"/>
  <c r="AA12" i="13"/>
  <c r="Z12" i="13"/>
  <c r="Y12" i="13"/>
  <c r="X12" i="13"/>
  <c r="W12" i="13"/>
  <c r="V12" i="13"/>
  <c r="U12" i="13"/>
  <c r="AB11" i="13"/>
  <c r="AA11" i="13"/>
  <c r="Z11" i="13"/>
  <c r="Y11" i="13"/>
  <c r="X11" i="13"/>
  <c r="W11" i="13"/>
  <c r="V11" i="13"/>
  <c r="U11" i="13"/>
  <c r="AB10" i="13"/>
  <c r="AA10" i="13"/>
  <c r="Z10" i="13"/>
  <c r="Y10" i="13"/>
  <c r="X10" i="13"/>
  <c r="W10" i="13"/>
  <c r="V10" i="13"/>
  <c r="U10" i="13"/>
  <c r="AB9" i="13"/>
  <c r="AA9" i="13"/>
  <c r="Z9" i="13"/>
  <c r="Y9" i="13"/>
  <c r="X9" i="13"/>
  <c r="W9" i="13"/>
  <c r="V9" i="13"/>
  <c r="U9" i="13"/>
  <c r="AB8" i="13"/>
  <c r="AA8" i="13"/>
  <c r="Z8" i="13"/>
  <c r="Y8" i="13"/>
  <c r="X8" i="13"/>
  <c r="W8" i="13"/>
  <c r="V8" i="13"/>
  <c r="U8" i="13"/>
  <c r="AB7" i="13"/>
  <c r="AA7" i="13"/>
  <c r="Z7" i="13"/>
  <c r="Y7" i="13"/>
  <c r="X7" i="13"/>
  <c r="W7" i="13"/>
  <c r="V7" i="13"/>
  <c r="U7" i="13"/>
  <c r="AB6" i="13"/>
  <c r="AA6" i="13"/>
  <c r="Z6" i="13"/>
  <c r="Y6" i="13"/>
  <c r="X6" i="13"/>
  <c r="W6" i="13"/>
  <c r="V6" i="13"/>
  <c r="U6" i="13"/>
  <c r="AB5" i="13"/>
  <c r="AA5" i="13"/>
  <c r="Z5" i="13"/>
  <c r="Y5" i="13"/>
  <c r="X5" i="13"/>
  <c r="W5" i="13"/>
  <c r="V5" i="13"/>
  <c r="U5" i="13"/>
  <c r="AB4" i="13"/>
  <c r="AA4" i="13"/>
  <c r="Z4" i="13"/>
  <c r="Y4" i="13"/>
  <c r="X4" i="13"/>
  <c r="W4" i="13"/>
  <c r="V4" i="13"/>
  <c r="U4" i="13"/>
  <c r="AB3" i="13"/>
  <c r="AA3" i="13"/>
  <c r="Z3" i="13"/>
  <c r="Y3" i="13"/>
  <c r="X3" i="13"/>
  <c r="W3" i="13"/>
  <c r="V3" i="13"/>
  <c r="U3" i="13"/>
  <c r="T46" i="13"/>
  <c r="AH46" i="13" s="1"/>
  <c r="T44" i="13"/>
  <c r="AH44" i="13" s="1"/>
  <c r="T43" i="13"/>
  <c r="AH43" i="13" s="1"/>
  <c r="T42" i="13"/>
  <c r="AH42" i="13" s="1"/>
  <c r="T41" i="13"/>
  <c r="AH41" i="13" s="1"/>
  <c r="T40" i="13"/>
  <c r="AH40" i="13" s="1"/>
  <c r="T39" i="13"/>
  <c r="AH39" i="13" s="1"/>
  <c r="T38" i="13"/>
  <c r="AH38" i="13" s="1"/>
  <c r="T37" i="13"/>
  <c r="AH37" i="13" s="1"/>
  <c r="T36" i="13"/>
  <c r="AH36" i="13" s="1"/>
  <c r="T35" i="13"/>
  <c r="AH35" i="13" s="1"/>
  <c r="T34" i="13"/>
  <c r="AH34" i="13" s="1"/>
  <c r="T33" i="13"/>
  <c r="AH33" i="13" s="1"/>
  <c r="T32" i="13"/>
  <c r="AH32" i="13" s="1"/>
  <c r="T31" i="13"/>
  <c r="AH31" i="13" s="1"/>
  <c r="T30" i="13"/>
  <c r="AH30" i="13" s="1"/>
  <c r="T29" i="13"/>
  <c r="AH29" i="13" s="1"/>
  <c r="T28" i="13"/>
  <c r="AH28" i="13" s="1"/>
  <c r="T27" i="13"/>
  <c r="AH27" i="13" s="1"/>
  <c r="T26" i="13"/>
  <c r="AH26" i="13" s="1"/>
  <c r="T25" i="13"/>
  <c r="AH25" i="13" s="1"/>
  <c r="T24" i="13"/>
  <c r="AH24" i="13" s="1"/>
  <c r="T23" i="13"/>
  <c r="AH23" i="13" s="1"/>
  <c r="T22" i="13"/>
  <c r="AH22" i="13" s="1"/>
  <c r="T21" i="13"/>
  <c r="AH21" i="13" s="1"/>
  <c r="T20" i="13"/>
  <c r="AH20" i="13" s="1"/>
  <c r="T19" i="13"/>
  <c r="AH19" i="13" s="1"/>
  <c r="T18" i="13"/>
  <c r="AH18" i="13" s="1"/>
  <c r="T17" i="13"/>
  <c r="AH17" i="13" s="1"/>
  <c r="T16" i="13"/>
  <c r="AH16" i="13" s="1"/>
  <c r="T15" i="13"/>
  <c r="AH15" i="13" s="1"/>
  <c r="T14" i="13"/>
  <c r="AH14" i="13" s="1"/>
  <c r="T13" i="13"/>
  <c r="AH13" i="13" s="1"/>
  <c r="T12" i="13"/>
  <c r="AH12" i="13" s="1"/>
  <c r="T11" i="13"/>
  <c r="AH11" i="13" s="1"/>
  <c r="T10" i="13"/>
  <c r="AH10" i="13" s="1"/>
  <c r="T9" i="13"/>
  <c r="AH9" i="13" s="1"/>
  <c r="T8" i="13"/>
  <c r="AH8" i="13" s="1"/>
  <c r="T7" i="13"/>
  <c r="AH7" i="13" s="1"/>
  <c r="T6" i="13"/>
  <c r="AH6" i="13" s="1"/>
  <c r="T5" i="13"/>
  <c r="AH5" i="13" s="1"/>
  <c r="T4" i="13"/>
  <c r="AH4" i="13" s="1"/>
  <c r="T3" i="13"/>
  <c r="F46" i="13"/>
  <c r="E46" i="13"/>
  <c r="F45" i="13"/>
  <c r="E45" i="13"/>
  <c r="F44" i="13"/>
  <c r="E44" i="13"/>
  <c r="F43" i="13"/>
  <c r="E43" i="13"/>
  <c r="F42" i="13"/>
  <c r="E42" i="13"/>
  <c r="F41" i="13"/>
  <c r="E41" i="13"/>
  <c r="F40" i="13"/>
  <c r="E40" i="13"/>
  <c r="F39" i="13"/>
  <c r="E39" i="13"/>
  <c r="F38" i="13"/>
  <c r="E38" i="13"/>
  <c r="F37" i="13"/>
  <c r="E37" i="13"/>
  <c r="F36" i="13"/>
  <c r="E36" i="13"/>
  <c r="F35" i="13"/>
  <c r="E35" i="13"/>
  <c r="F34" i="13"/>
  <c r="E34" i="13"/>
  <c r="F33" i="13"/>
  <c r="E33" i="13"/>
  <c r="F32" i="13"/>
  <c r="E32" i="13"/>
  <c r="F31" i="13"/>
  <c r="E31" i="13"/>
  <c r="F30" i="13"/>
  <c r="E30" i="13"/>
  <c r="F29" i="13"/>
  <c r="E29" i="13"/>
  <c r="F28" i="13"/>
  <c r="E28" i="13"/>
  <c r="F27" i="13"/>
  <c r="E27" i="13"/>
  <c r="F26" i="13"/>
  <c r="E26" i="13"/>
  <c r="F25" i="13"/>
  <c r="E25" i="13"/>
  <c r="F24" i="13"/>
  <c r="E24" i="13"/>
  <c r="F23" i="13"/>
  <c r="E23" i="13"/>
  <c r="F22" i="13"/>
  <c r="E22" i="13"/>
  <c r="F21" i="13"/>
  <c r="E21" i="13"/>
  <c r="F20" i="13"/>
  <c r="E20" i="13"/>
  <c r="F19" i="13"/>
  <c r="E19" i="13"/>
  <c r="F18" i="13"/>
  <c r="E18" i="13"/>
  <c r="F17" i="13"/>
  <c r="E17" i="13"/>
  <c r="F16" i="13"/>
  <c r="E16" i="13"/>
  <c r="F15" i="13"/>
  <c r="E15" i="13"/>
  <c r="F14" i="13"/>
  <c r="E14" i="13"/>
  <c r="F13" i="13"/>
  <c r="E13" i="13"/>
  <c r="F12" i="13"/>
  <c r="E12" i="13"/>
  <c r="F11" i="13"/>
  <c r="E11" i="13"/>
  <c r="F10" i="13"/>
  <c r="E10" i="13"/>
  <c r="F9" i="13"/>
  <c r="E9" i="13"/>
  <c r="F8" i="13"/>
  <c r="E8" i="13"/>
  <c r="F7" i="13"/>
  <c r="E7" i="13"/>
  <c r="F6" i="13"/>
  <c r="E6" i="13"/>
  <c r="F5" i="13"/>
  <c r="E5" i="13"/>
  <c r="F4" i="13"/>
  <c r="E4" i="13"/>
  <c r="F3" i="13"/>
  <c r="E3" i="13"/>
  <c r="X49" i="13" l="1"/>
  <c r="AB49" i="13"/>
  <c r="U51" i="13"/>
  <c r="Y50" i="13"/>
  <c r="AM45" i="13"/>
  <c r="AK6" i="13"/>
  <c r="AO6" i="13"/>
  <c r="AK10" i="13"/>
  <c r="AO10" i="13"/>
  <c r="AK14" i="13"/>
  <c r="AO14" i="13"/>
  <c r="AK18" i="13"/>
  <c r="AO18" i="13"/>
  <c r="AK22" i="13"/>
  <c r="AO22" i="13"/>
  <c r="AK26" i="13"/>
  <c r="AO26" i="13"/>
  <c r="AK30" i="13"/>
  <c r="AO30" i="13"/>
  <c r="AK34" i="13"/>
  <c r="AO34" i="13"/>
  <c r="AK38" i="13"/>
  <c r="AO38" i="13"/>
  <c r="AK42" i="13"/>
  <c r="AO42" i="13"/>
  <c r="AJ45" i="13"/>
  <c r="AN45" i="13"/>
  <c r="AL6" i="13"/>
  <c r="AP6" i="13"/>
  <c r="AL10" i="13"/>
  <c r="AP10" i="13"/>
  <c r="AL14" i="13"/>
  <c r="AP14" i="13"/>
  <c r="AL18" i="13"/>
  <c r="AL22" i="13"/>
  <c r="AK45" i="13"/>
  <c r="AO45" i="13"/>
  <c r="AB50" i="13"/>
  <c r="X51" i="13"/>
  <c r="T52" i="13"/>
  <c r="V50" i="13"/>
  <c r="AJ5" i="13"/>
  <c r="AN5" i="13"/>
  <c r="AJ6" i="13"/>
  <c r="AN6" i="13"/>
  <c r="AJ9" i="13"/>
  <c r="AN9" i="13"/>
  <c r="AJ10" i="13"/>
  <c r="AN10" i="13"/>
  <c r="AJ13" i="13"/>
  <c r="AN13" i="13"/>
  <c r="AJ14" i="13"/>
  <c r="AN14" i="13"/>
  <c r="AJ17" i="13"/>
  <c r="AN17" i="13"/>
  <c r="AJ18" i="13"/>
  <c r="AN18" i="13"/>
  <c r="AJ21" i="13"/>
  <c r="AN21" i="13"/>
  <c r="AJ22" i="13"/>
  <c r="AN22" i="13"/>
  <c r="AJ25" i="13"/>
  <c r="AN25" i="13"/>
  <c r="AJ26" i="13"/>
  <c r="AN26" i="13"/>
  <c r="AJ29" i="13"/>
  <c r="AN29" i="13"/>
  <c r="AJ30" i="13"/>
  <c r="AN30" i="13"/>
  <c r="AJ33" i="13"/>
  <c r="AN33" i="13"/>
  <c r="AJ34" i="13"/>
  <c r="AN34" i="13"/>
  <c r="AJ37" i="13"/>
  <c r="AN37" i="13"/>
  <c r="AJ38" i="13"/>
  <c r="AN38" i="13"/>
  <c r="AJ41" i="13"/>
  <c r="AN41" i="13"/>
  <c r="AJ42" i="13"/>
  <c r="AN42" i="13"/>
  <c r="AJ46" i="13"/>
  <c r="AN46" i="13"/>
  <c r="U49" i="13"/>
  <c r="Y48" i="13"/>
  <c r="Y51" i="13"/>
  <c r="AK5" i="13"/>
  <c r="AO5" i="13"/>
  <c r="AK9" i="13"/>
  <c r="AO9" i="13"/>
  <c r="AK13" i="13"/>
  <c r="AO13" i="13"/>
  <c r="AK17" i="13"/>
  <c r="AO17" i="13"/>
  <c r="AK21" i="13"/>
  <c r="AO21" i="13"/>
  <c r="AK25" i="13"/>
  <c r="AO25" i="13"/>
  <c r="AK29" i="13"/>
  <c r="AO29" i="13"/>
  <c r="AK33" i="13"/>
  <c r="AO33" i="13"/>
  <c r="AK37" i="13"/>
  <c r="AO37" i="13"/>
  <c r="AK41" i="13"/>
  <c r="AO41" i="13"/>
  <c r="AK46" i="13"/>
  <c r="AO46" i="13"/>
  <c r="X50" i="13"/>
  <c r="AB51" i="13"/>
  <c r="AK3" i="13"/>
  <c r="AO3" i="13"/>
  <c r="AA51" i="13"/>
  <c r="AA52" i="13"/>
  <c r="AA48" i="13"/>
  <c r="AA49" i="13"/>
  <c r="AK4" i="13"/>
  <c r="AO4" i="13"/>
  <c r="AK7" i="13"/>
  <c r="AO7" i="13"/>
  <c r="AK8" i="13"/>
  <c r="AO8" i="13"/>
  <c r="AK11" i="13"/>
  <c r="AO11" i="13"/>
  <c r="AK12" i="13"/>
  <c r="AO12" i="13"/>
  <c r="AK15" i="13"/>
  <c r="AO15" i="13"/>
  <c r="AK16" i="13"/>
  <c r="AO16" i="13"/>
  <c r="AK19" i="13"/>
  <c r="AO19" i="13"/>
  <c r="AK20" i="13"/>
  <c r="AO20" i="13"/>
  <c r="AK23" i="13"/>
  <c r="AO23" i="13"/>
  <c r="AK24" i="13"/>
  <c r="AA50" i="13"/>
  <c r="AH3" i="13"/>
  <c r="T51" i="13"/>
  <c r="T50" i="13"/>
  <c r="T49" i="13"/>
  <c r="AJ3" i="13"/>
  <c r="V51" i="13"/>
  <c r="V52" i="13"/>
  <c r="V48" i="13"/>
  <c r="V49" i="13"/>
  <c r="AN3" i="13"/>
  <c r="Z50" i="13"/>
  <c r="Z51" i="13"/>
  <c r="Z52" i="13"/>
  <c r="Z48" i="13"/>
  <c r="AJ4" i="13"/>
  <c r="AN4" i="13"/>
  <c r="AJ7" i="13"/>
  <c r="AN7" i="13"/>
  <c r="AJ8" i="13"/>
  <c r="AN8" i="13"/>
  <c r="AJ11" i="13"/>
  <c r="AN11" i="13"/>
  <c r="AJ12" i="13"/>
  <c r="AN12" i="13"/>
  <c r="AJ15" i="13"/>
  <c r="AN15" i="13"/>
  <c r="AJ16" i="13"/>
  <c r="AN16" i="13"/>
  <c r="AJ19" i="13"/>
  <c r="AN19" i="13"/>
  <c r="AJ20" i="13"/>
  <c r="AN20" i="13"/>
  <c r="AJ23" i="13"/>
  <c r="AN23" i="13"/>
  <c r="AJ24" i="13"/>
  <c r="AN24" i="13"/>
  <c r="AJ27" i="13"/>
  <c r="AN27" i="13"/>
  <c r="AJ28" i="13"/>
  <c r="AN28" i="13"/>
  <c r="AJ31" i="13"/>
  <c r="AN31" i="13"/>
  <c r="AJ32" i="13"/>
  <c r="AN32" i="13"/>
  <c r="AJ35" i="13"/>
  <c r="AN35" i="13"/>
  <c r="AJ36" i="13"/>
  <c r="AN36" i="13"/>
  <c r="AJ39" i="13"/>
  <c r="AN39" i="13"/>
  <c r="AJ40" i="13"/>
  <c r="AN40" i="13"/>
  <c r="AJ43" i="13"/>
  <c r="AN43" i="13"/>
  <c r="AJ44" i="13"/>
  <c r="AN44" i="13"/>
  <c r="AI45" i="13"/>
  <c r="U52" i="13"/>
  <c r="U48" i="13"/>
  <c r="T48" i="13"/>
  <c r="Z49" i="13"/>
  <c r="Y52" i="13"/>
  <c r="AO24" i="13"/>
  <c r="AK27" i="13"/>
  <c r="AO27" i="13"/>
  <c r="AK28" i="13"/>
  <c r="AO28" i="13"/>
  <c r="AK31" i="13"/>
  <c r="AO31" i="13"/>
  <c r="AK32" i="13"/>
  <c r="AO32" i="13"/>
  <c r="AK35" i="13"/>
  <c r="AO35" i="13"/>
  <c r="AK36" i="13"/>
  <c r="AO36" i="13"/>
  <c r="AK39" i="13"/>
  <c r="AO39" i="13"/>
  <c r="AK40" i="13"/>
  <c r="AO40" i="13"/>
  <c r="AK43" i="13"/>
  <c r="AO43" i="13"/>
  <c r="AK44" i="13"/>
  <c r="AO44" i="13"/>
  <c r="AP22" i="13"/>
  <c r="AL23" i="13"/>
  <c r="AP23" i="13"/>
  <c r="AL24" i="13"/>
  <c r="AL25" i="13"/>
  <c r="AP25" i="13"/>
  <c r="AL26" i="13"/>
  <c r="AL27" i="13"/>
  <c r="AP27" i="13"/>
  <c r="AL28" i="13"/>
  <c r="AP28" i="13"/>
  <c r="AL29" i="13"/>
  <c r="AP29" i="13"/>
  <c r="AL30" i="13"/>
  <c r="AP30" i="13"/>
  <c r="AL31" i="13"/>
  <c r="AP31" i="13"/>
  <c r="AL32" i="13"/>
  <c r="AP32" i="13"/>
  <c r="AL33" i="13"/>
  <c r="AL34" i="13"/>
  <c r="AP34" i="13"/>
  <c r="AL35" i="13"/>
  <c r="AP35" i="13"/>
  <c r="AL36" i="13"/>
  <c r="AP36" i="13"/>
  <c r="AL37" i="13"/>
  <c r="AP37" i="13"/>
  <c r="AL38" i="13"/>
  <c r="AP38" i="13"/>
  <c r="AL39" i="13"/>
  <c r="AP39" i="13"/>
  <c r="AL40" i="13"/>
  <c r="AP40" i="13"/>
  <c r="AL41" i="13"/>
  <c r="AP41" i="13"/>
  <c r="AL42" i="13"/>
  <c r="AP42" i="13"/>
  <c r="AL43" i="13"/>
  <c r="AP43" i="13"/>
  <c r="AL44" i="13"/>
  <c r="AP44" i="13"/>
  <c r="AL46" i="13"/>
  <c r="AL3" i="13"/>
  <c r="AP3" i="13"/>
  <c r="AL4" i="13"/>
  <c r="AP4" i="13"/>
  <c r="AL5" i="13"/>
  <c r="AP5" i="13"/>
  <c r="AL7" i="13"/>
  <c r="AP7" i="13"/>
  <c r="AL8" i="13"/>
  <c r="AP8" i="13"/>
  <c r="AL9" i="13"/>
  <c r="AP9" i="13"/>
  <c r="AL11" i="13"/>
  <c r="AP11" i="13"/>
  <c r="AL12" i="13"/>
  <c r="AP12" i="13"/>
  <c r="AL13" i="13"/>
  <c r="AP13" i="13"/>
  <c r="AL15" i="13"/>
  <c r="AP15" i="13"/>
  <c r="AL16" i="13"/>
  <c r="AP16" i="13"/>
  <c r="AL17" i="13"/>
  <c r="AP17" i="13"/>
  <c r="AL19" i="13"/>
  <c r="AP19" i="13"/>
  <c r="AL20" i="13"/>
  <c r="AP20" i="13"/>
  <c r="AL21" i="13"/>
  <c r="AP21" i="13"/>
  <c r="AI3" i="13"/>
  <c r="AM3" i="13"/>
  <c r="AI4" i="13"/>
  <c r="AM4" i="13"/>
  <c r="AI5" i="13"/>
  <c r="AM5" i="13"/>
  <c r="AI6" i="13"/>
  <c r="AM6" i="13"/>
  <c r="AI7" i="13"/>
  <c r="AM7" i="13"/>
  <c r="AI8" i="13"/>
  <c r="AM8" i="13"/>
  <c r="AI9" i="13"/>
  <c r="AM9" i="13"/>
  <c r="AI10" i="13"/>
  <c r="AM10" i="13"/>
  <c r="AI11" i="13"/>
  <c r="AM11" i="13"/>
  <c r="AI12" i="13"/>
  <c r="AM12" i="13"/>
  <c r="AI13" i="13"/>
  <c r="AM13" i="13"/>
  <c r="AI14" i="13"/>
  <c r="AM14" i="13"/>
  <c r="AI15" i="13"/>
  <c r="AM15" i="13"/>
  <c r="AI16" i="13"/>
  <c r="AM16" i="13"/>
  <c r="AI17" i="13"/>
  <c r="AM17" i="13"/>
  <c r="AI18" i="13"/>
  <c r="AM18" i="13"/>
  <c r="AI19" i="13"/>
  <c r="AM19" i="13"/>
  <c r="AI20" i="13"/>
  <c r="AM20" i="13"/>
  <c r="AI21" i="13"/>
  <c r="AM21" i="13"/>
  <c r="AI22" i="13"/>
  <c r="AM22" i="13"/>
  <c r="AI23" i="13"/>
  <c r="AM23" i="13"/>
  <c r="AI24" i="13"/>
  <c r="AM24" i="13"/>
  <c r="AI25" i="13"/>
  <c r="AM25" i="13"/>
  <c r="AI26" i="13"/>
  <c r="AM26" i="13"/>
  <c r="AI27" i="13"/>
  <c r="AM27" i="13"/>
  <c r="AI28" i="13"/>
  <c r="AM28" i="13"/>
  <c r="AI29" i="13"/>
  <c r="AM29" i="13"/>
  <c r="AI30" i="13"/>
  <c r="AM30" i="13"/>
  <c r="AI31" i="13"/>
  <c r="AM31" i="13"/>
  <c r="AI32" i="13"/>
  <c r="AM32" i="13"/>
  <c r="AI33" i="13"/>
  <c r="AM33" i="13"/>
  <c r="AI34" i="13"/>
  <c r="AM34" i="13"/>
  <c r="AI35" i="13"/>
  <c r="AM35" i="13"/>
  <c r="AI36" i="13"/>
  <c r="AM36" i="13"/>
  <c r="AI37" i="13"/>
  <c r="AM37" i="13"/>
  <c r="AI38" i="13"/>
  <c r="AM38" i="13"/>
  <c r="AI39" i="13"/>
  <c r="AM39" i="13"/>
  <c r="AI40" i="13"/>
  <c r="AM40" i="13"/>
  <c r="AI41" i="13"/>
  <c r="AM41" i="13"/>
  <c r="AI42" i="13"/>
  <c r="AM42" i="13"/>
  <c r="AI43" i="13"/>
  <c r="AM43" i="13"/>
  <c r="AI44" i="13"/>
  <c r="AM44" i="13"/>
  <c r="AI46" i="13"/>
  <c r="AM46" i="13"/>
  <c r="AL45" i="13"/>
  <c r="AP45" i="13"/>
  <c r="X48" i="13"/>
  <c r="AB48" i="13"/>
  <c r="Y49" i="13"/>
  <c r="U50" i="13"/>
  <c r="X52" i="13"/>
  <c r="AB52" i="13"/>
  <c r="W48" i="13"/>
  <c r="W49" i="13"/>
  <c r="W51" i="13"/>
  <c r="W52" i="13"/>
  <c r="W50" i="13"/>
  <c r="E49" i="6"/>
  <c r="E45" i="6"/>
  <c r="E41" i="6"/>
  <c r="E37" i="6"/>
  <c r="E33" i="6"/>
  <c r="E29" i="6"/>
  <c r="E25" i="6"/>
  <c r="E21" i="6"/>
  <c r="E17" i="6"/>
  <c r="E13" i="6"/>
  <c r="E9" i="6"/>
  <c r="E5" i="6"/>
  <c r="D52" i="6"/>
  <c r="E52" i="6" s="1"/>
  <c r="D51" i="6"/>
  <c r="E51" i="6" s="1"/>
  <c r="D50" i="6"/>
  <c r="E50" i="6" s="1"/>
  <c r="D49" i="6"/>
  <c r="D48" i="6"/>
  <c r="E48" i="6" s="1"/>
  <c r="D47" i="6"/>
  <c r="E47" i="6" s="1"/>
  <c r="D46" i="6"/>
  <c r="E46" i="6" s="1"/>
  <c r="D45" i="6"/>
  <c r="D44" i="6"/>
  <c r="E44" i="6" s="1"/>
  <c r="D43" i="6"/>
  <c r="E43" i="6" s="1"/>
  <c r="D42" i="6"/>
  <c r="E42" i="6" s="1"/>
  <c r="D41" i="6"/>
  <c r="D40" i="6"/>
  <c r="E40" i="6" s="1"/>
  <c r="D39" i="6"/>
  <c r="E39" i="6" s="1"/>
  <c r="D38" i="6"/>
  <c r="E38" i="6" s="1"/>
  <c r="D37" i="6"/>
  <c r="D36" i="6"/>
  <c r="E36" i="6" s="1"/>
  <c r="D35" i="6"/>
  <c r="E35" i="6" s="1"/>
  <c r="D34" i="6"/>
  <c r="E34" i="6" s="1"/>
  <c r="D33" i="6"/>
  <c r="D32" i="6"/>
  <c r="E32" i="6" s="1"/>
  <c r="D31" i="6"/>
  <c r="E31" i="6" s="1"/>
  <c r="D30" i="6"/>
  <c r="E30" i="6" s="1"/>
  <c r="D29" i="6"/>
  <c r="D28" i="6"/>
  <c r="E28" i="6" s="1"/>
  <c r="D27" i="6"/>
  <c r="E27" i="6" s="1"/>
  <c r="D26" i="6"/>
  <c r="E26" i="6" s="1"/>
  <c r="D25" i="6"/>
  <c r="D24" i="6"/>
  <c r="E24" i="6" s="1"/>
  <c r="D23" i="6"/>
  <c r="E23" i="6" s="1"/>
  <c r="D22" i="6"/>
  <c r="E22" i="6" s="1"/>
  <c r="D21" i="6"/>
  <c r="D20" i="6"/>
  <c r="E20" i="6" s="1"/>
  <c r="D19" i="6"/>
  <c r="E19" i="6" s="1"/>
  <c r="D18" i="6"/>
  <c r="E18" i="6" s="1"/>
  <c r="D17" i="6"/>
  <c r="D16" i="6"/>
  <c r="E16" i="6" s="1"/>
  <c r="D15" i="6"/>
  <c r="E15" i="6" s="1"/>
  <c r="D14" i="6"/>
  <c r="E14" i="6" s="1"/>
  <c r="D13" i="6"/>
  <c r="D12" i="6"/>
  <c r="E12" i="6" s="1"/>
  <c r="D11" i="6"/>
  <c r="E11" i="6" s="1"/>
  <c r="D10" i="6"/>
  <c r="E10" i="6" s="1"/>
  <c r="D9" i="6"/>
  <c r="D8" i="6"/>
  <c r="E8" i="6" s="1"/>
  <c r="D7" i="6"/>
  <c r="E7" i="6" s="1"/>
  <c r="D6" i="6"/>
  <c r="E6" i="6" s="1"/>
  <c r="D5" i="6"/>
  <c r="D4" i="6"/>
  <c r="E4" i="6" s="1"/>
  <c r="D3" i="6"/>
  <c r="E3" i="6" s="1"/>
  <c r="H20" i="6"/>
  <c r="H19" i="6"/>
  <c r="H18" i="6"/>
  <c r="H17" i="6"/>
  <c r="H16" i="6"/>
  <c r="H15" i="6"/>
  <c r="H10" i="6"/>
  <c r="H9" i="6"/>
  <c r="H8" i="6"/>
  <c r="H7" i="6"/>
  <c r="H6" i="6"/>
  <c r="H5" i="6"/>
  <c r="D52" i="7"/>
  <c r="E52" i="7" s="1"/>
  <c r="D51" i="7"/>
  <c r="E51" i="7" s="1"/>
  <c r="D50" i="7"/>
  <c r="E50" i="7" s="1"/>
  <c r="D49" i="7"/>
  <c r="E49" i="7" s="1"/>
  <c r="D48" i="7"/>
  <c r="E48" i="7" s="1"/>
  <c r="D47" i="7"/>
  <c r="E47" i="7" s="1"/>
  <c r="D46" i="7"/>
  <c r="E46" i="7" s="1"/>
  <c r="D45" i="7"/>
  <c r="E45" i="7" s="1"/>
  <c r="D44" i="7"/>
  <c r="E44" i="7" s="1"/>
  <c r="D43" i="7"/>
  <c r="E43" i="7" s="1"/>
  <c r="D42" i="7"/>
  <c r="E42" i="7" s="1"/>
  <c r="D41" i="7"/>
  <c r="E41" i="7" s="1"/>
  <c r="D40" i="7"/>
  <c r="E40" i="7" s="1"/>
  <c r="D39" i="7"/>
  <c r="E39" i="7" s="1"/>
  <c r="D38" i="7"/>
  <c r="E38" i="7" s="1"/>
  <c r="D37" i="7"/>
  <c r="E37" i="7" s="1"/>
  <c r="D36" i="7"/>
  <c r="E36" i="7" s="1"/>
  <c r="D35" i="7"/>
  <c r="E35" i="7" s="1"/>
  <c r="D34" i="7"/>
  <c r="E34" i="7" s="1"/>
  <c r="D33" i="7"/>
  <c r="E33" i="7" s="1"/>
  <c r="D32" i="7"/>
  <c r="E32" i="7" s="1"/>
  <c r="D31" i="7"/>
  <c r="E31" i="7" s="1"/>
  <c r="D30" i="7"/>
  <c r="E30" i="7" s="1"/>
  <c r="D29" i="7"/>
  <c r="E29" i="7" s="1"/>
  <c r="D28" i="7"/>
  <c r="E28" i="7" s="1"/>
  <c r="D27" i="7"/>
  <c r="E27" i="7" s="1"/>
  <c r="D26" i="7"/>
  <c r="E26" i="7" s="1"/>
  <c r="D25" i="7"/>
  <c r="E25" i="7" s="1"/>
  <c r="D24" i="7"/>
  <c r="E24" i="7" s="1"/>
  <c r="D23" i="7"/>
  <c r="E23" i="7" s="1"/>
  <c r="D22" i="7"/>
  <c r="E22" i="7" s="1"/>
  <c r="D21" i="7"/>
  <c r="E21" i="7" s="1"/>
  <c r="D20" i="7"/>
  <c r="E20" i="7" s="1"/>
  <c r="D19" i="7"/>
  <c r="E19" i="7" s="1"/>
  <c r="D18" i="7"/>
  <c r="E18" i="7" s="1"/>
  <c r="D17" i="7"/>
  <c r="E17" i="7" s="1"/>
  <c r="D16" i="7"/>
  <c r="E16" i="7" s="1"/>
  <c r="D15" i="7"/>
  <c r="E15" i="7" s="1"/>
  <c r="D14" i="7"/>
  <c r="E14" i="7" s="1"/>
  <c r="D13" i="7"/>
  <c r="E13" i="7" s="1"/>
  <c r="D12" i="7"/>
  <c r="E12" i="7" s="1"/>
  <c r="D11" i="7"/>
  <c r="E11" i="7" s="1"/>
  <c r="D10" i="7"/>
  <c r="E10" i="7" s="1"/>
  <c r="D9" i="7"/>
  <c r="E9" i="7" s="1"/>
  <c r="D8" i="7"/>
  <c r="E8" i="7" s="1"/>
  <c r="D7" i="7"/>
  <c r="E7" i="7" s="1"/>
  <c r="D6" i="7"/>
  <c r="E6" i="7" s="1"/>
  <c r="D5" i="7"/>
  <c r="E5" i="7" s="1"/>
  <c r="D4" i="7"/>
  <c r="E4" i="7" s="1"/>
  <c r="D3" i="7"/>
  <c r="E3" i="7" s="1"/>
  <c r="L18" i="7"/>
  <c r="L17" i="7"/>
  <c r="L15" i="7"/>
  <c r="L14" i="7"/>
  <c r="L13" i="7"/>
  <c r="L9" i="7"/>
  <c r="L8" i="7"/>
  <c r="L6" i="7"/>
  <c r="L5" i="7"/>
  <c r="L4" i="7"/>
  <c r="D52" i="8"/>
  <c r="E52" i="8" s="1"/>
  <c r="D51" i="8"/>
  <c r="E51" i="8" s="1"/>
  <c r="D50" i="8"/>
  <c r="E50" i="8" s="1"/>
  <c r="D49" i="8"/>
  <c r="E49" i="8" s="1"/>
  <c r="D48" i="8"/>
  <c r="E48" i="8" s="1"/>
  <c r="D47" i="8"/>
  <c r="E47" i="8" s="1"/>
  <c r="D46" i="8"/>
  <c r="E46" i="8" s="1"/>
  <c r="D45" i="8"/>
  <c r="E45" i="8" s="1"/>
  <c r="D44" i="8"/>
  <c r="E44" i="8" s="1"/>
  <c r="D43" i="8"/>
  <c r="E43" i="8" s="1"/>
  <c r="D42" i="8"/>
  <c r="E42" i="8" s="1"/>
  <c r="D41" i="8"/>
  <c r="E41" i="8" s="1"/>
  <c r="D40" i="8"/>
  <c r="E40" i="8" s="1"/>
  <c r="D39" i="8"/>
  <c r="E39" i="8" s="1"/>
  <c r="D38" i="8"/>
  <c r="E38" i="8" s="1"/>
  <c r="D37" i="8"/>
  <c r="E37" i="8" s="1"/>
  <c r="D36" i="8"/>
  <c r="E36" i="8" s="1"/>
  <c r="D35" i="8"/>
  <c r="E35" i="8" s="1"/>
  <c r="D34" i="8"/>
  <c r="E34" i="8" s="1"/>
  <c r="D33" i="8"/>
  <c r="E33" i="8" s="1"/>
  <c r="D32" i="8"/>
  <c r="E32" i="8" s="1"/>
  <c r="D31" i="8"/>
  <c r="E31" i="8" s="1"/>
  <c r="D30" i="8"/>
  <c r="E30" i="8" s="1"/>
  <c r="D29" i="8"/>
  <c r="E29" i="8" s="1"/>
  <c r="D28" i="8"/>
  <c r="E28" i="8" s="1"/>
  <c r="D27" i="8"/>
  <c r="E27" i="8" s="1"/>
  <c r="D26" i="8"/>
  <c r="E26" i="8" s="1"/>
  <c r="D25" i="8"/>
  <c r="E25" i="8" s="1"/>
  <c r="D24" i="8"/>
  <c r="E24" i="8" s="1"/>
  <c r="D23" i="8"/>
  <c r="E23" i="8" s="1"/>
  <c r="D22" i="8"/>
  <c r="E22" i="8" s="1"/>
  <c r="D21" i="8"/>
  <c r="E21" i="8" s="1"/>
  <c r="D20" i="8"/>
  <c r="E20" i="8" s="1"/>
  <c r="D19" i="8"/>
  <c r="E19" i="8" s="1"/>
  <c r="D18" i="8"/>
  <c r="E18" i="8" s="1"/>
  <c r="D17" i="8"/>
  <c r="E17" i="8" s="1"/>
  <c r="D16" i="8"/>
  <c r="E16" i="8" s="1"/>
  <c r="D15" i="8"/>
  <c r="E15" i="8" s="1"/>
  <c r="D14" i="8"/>
  <c r="E14" i="8" s="1"/>
  <c r="D13" i="8"/>
  <c r="E13" i="8" s="1"/>
  <c r="D12" i="8"/>
  <c r="E12" i="8" s="1"/>
  <c r="D11" i="8"/>
  <c r="E11" i="8" s="1"/>
  <c r="D10" i="8"/>
  <c r="E10" i="8" s="1"/>
  <c r="D9" i="8"/>
  <c r="E9" i="8" s="1"/>
  <c r="D8" i="8"/>
  <c r="E8" i="8" s="1"/>
  <c r="D7" i="8"/>
  <c r="E7" i="8" s="1"/>
  <c r="D6" i="8"/>
  <c r="E6" i="8" s="1"/>
  <c r="D5" i="8"/>
  <c r="E5" i="8" s="1"/>
  <c r="D4" i="8"/>
  <c r="E4" i="8" s="1"/>
  <c r="D3" i="8"/>
  <c r="E3" i="8" s="1"/>
  <c r="H21" i="8"/>
  <c r="H20" i="8"/>
  <c r="H19" i="8"/>
  <c r="H18" i="8"/>
  <c r="H17" i="8"/>
  <c r="H16" i="8"/>
  <c r="H15" i="8"/>
  <c r="H14" i="8"/>
  <c r="H10" i="8"/>
  <c r="H9" i="8"/>
  <c r="H8" i="8"/>
  <c r="H7" i="8"/>
  <c r="H6" i="8"/>
  <c r="H5" i="8"/>
  <c r="H4" i="8"/>
  <c r="H3" i="8"/>
  <c r="E49" i="9"/>
  <c r="E45" i="9"/>
  <c r="E41" i="9"/>
  <c r="E37" i="9"/>
  <c r="E33" i="9"/>
  <c r="E29" i="9"/>
  <c r="E25" i="9"/>
  <c r="E21" i="9"/>
  <c r="E17" i="9"/>
  <c r="E13" i="9"/>
  <c r="E9" i="9"/>
  <c r="E5" i="9"/>
  <c r="D52" i="9"/>
  <c r="E52" i="9" s="1"/>
  <c r="D51" i="9"/>
  <c r="E51" i="9" s="1"/>
  <c r="D50" i="9"/>
  <c r="E50" i="9" s="1"/>
  <c r="D49" i="9"/>
  <c r="D48" i="9"/>
  <c r="E48" i="9" s="1"/>
  <c r="D47" i="9"/>
  <c r="E47" i="9" s="1"/>
  <c r="D46" i="9"/>
  <c r="E46" i="9" s="1"/>
  <c r="D45" i="9"/>
  <c r="D44" i="9"/>
  <c r="E44" i="9" s="1"/>
  <c r="D43" i="9"/>
  <c r="E43" i="9" s="1"/>
  <c r="D42" i="9"/>
  <c r="E42" i="9" s="1"/>
  <c r="D41" i="9"/>
  <c r="D40" i="9"/>
  <c r="E40" i="9" s="1"/>
  <c r="D39" i="9"/>
  <c r="E39" i="9" s="1"/>
  <c r="D38" i="9"/>
  <c r="E38" i="9" s="1"/>
  <c r="D37" i="9"/>
  <c r="D36" i="9"/>
  <c r="E36" i="9" s="1"/>
  <c r="D35" i="9"/>
  <c r="E35" i="9" s="1"/>
  <c r="D34" i="9"/>
  <c r="E34" i="9" s="1"/>
  <c r="D33" i="9"/>
  <c r="D32" i="9"/>
  <c r="E32" i="9" s="1"/>
  <c r="D31" i="9"/>
  <c r="E31" i="9" s="1"/>
  <c r="D30" i="9"/>
  <c r="E30" i="9" s="1"/>
  <c r="D29" i="9"/>
  <c r="D28" i="9"/>
  <c r="E28" i="9" s="1"/>
  <c r="D27" i="9"/>
  <c r="E27" i="9" s="1"/>
  <c r="D26" i="9"/>
  <c r="E26" i="9" s="1"/>
  <c r="D25" i="9"/>
  <c r="D24" i="9"/>
  <c r="E24" i="9" s="1"/>
  <c r="D23" i="9"/>
  <c r="E23" i="9" s="1"/>
  <c r="D22" i="9"/>
  <c r="E22" i="9" s="1"/>
  <c r="D21" i="9"/>
  <c r="D20" i="9"/>
  <c r="E20" i="9" s="1"/>
  <c r="D19" i="9"/>
  <c r="E19" i="9" s="1"/>
  <c r="D18" i="9"/>
  <c r="E18" i="9" s="1"/>
  <c r="D17" i="9"/>
  <c r="D16" i="9"/>
  <c r="E16" i="9" s="1"/>
  <c r="D15" i="9"/>
  <c r="E15" i="9" s="1"/>
  <c r="D14" i="9"/>
  <c r="E14" i="9" s="1"/>
  <c r="D13" i="9"/>
  <c r="D12" i="9"/>
  <c r="E12" i="9" s="1"/>
  <c r="D11" i="9"/>
  <c r="E11" i="9" s="1"/>
  <c r="D10" i="9"/>
  <c r="E10" i="9" s="1"/>
  <c r="D9" i="9"/>
  <c r="D8" i="9"/>
  <c r="E8" i="9" s="1"/>
  <c r="D7" i="9"/>
  <c r="E7" i="9" s="1"/>
  <c r="D6" i="9"/>
  <c r="E6" i="9" s="1"/>
  <c r="D5" i="9"/>
  <c r="D4" i="9"/>
  <c r="E4" i="9" s="1"/>
  <c r="D3" i="9"/>
  <c r="E3" i="9" s="1"/>
  <c r="I20" i="9"/>
  <c r="I19" i="9"/>
  <c r="I18" i="9"/>
  <c r="I17" i="9"/>
  <c r="I16" i="9"/>
  <c r="I15" i="9"/>
  <c r="I9" i="9"/>
  <c r="I8" i="9"/>
  <c r="I7" i="9"/>
  <c r="I6" i="9"/>
  <c r="I5" i="9"/>
  <c r="I4" i="9"/>
  <c r="D52" i="5"/>
  <c r="E52" i="5" s="1"/>
  <c r="D51" i="5"/>
  <c r="E51" i="5" s="1"/>
  <c r="D50" i="5"/>
  <c r="E50" i="5" s="1"/>
  <c r="D49" i="5"/>
  <c r="E49" i="5" s="1"/>
  <c r="D48" i="5"/>
  <c r="E48" i="5" s="1"/>
  <c r="D47" i="5"/>
  <c r="E47" i="5" s="1"/>
  <c r="D46" i="5"/>
  <c r="E46" i="5" s="1"/>
  <c r="D45" i="5"/>
  <c r="E45" i="5" s="1"/>
  <c r="D44" i="5"/>
  <c r="E44" i="5" s="1"/>
  <c r="D43" i="5"/>
  <c r="E43" i="5" s="1"/>
  <c r="J22" i="5"/>
  <c r="J21" i="5"/>
  <c r="J20" i="5"/>
  <c r="J19" i="5"/>
  <c r="J18" i="5"/>
  <c r="J17" i="5"/>
  <c r="D42" i="5"/>
  <c r="E42" i="5" s="1"/>
  <c r="D41" i="5"/>
  <c r="E41" i="5" s="1"/>
  <c r="D40" i="5"/>
  <c r="E40" i="5" s="1"/>
  <c r="D39" i="5"/>
  <c r="E39" i="5" s="1"/>
  <c r="D38" i="5"/>
  <c r="E38" i="5" s="1"/>
  <c r="D37" i="5"/>
  <c r="E37" i="5" s="1"/>
  <c r="D36" i="5"/>
  <c r="E36" i="5" s="1"/>
  <c r="D35" i="5"/>
  <c r="E35" i="5" s="1"/>
  <c r="D34" i="5"/>
  <c r="E34" i="5" s="1"/>
  <c r="D33" i="5"/>
  <c r="E33" i="5" s="1"/>
  <c r="D32" i="5"/>
  <c r="E32" i="5" s="1"/>
  <c r="D31" i="5"/>
  <c r="E31" i="5" s="1"/>
  <c r="D30" i="5"/>
  <c r="E30" i="5" s="1"/>
  <c r="D29" i="5"/>
  <c r="E29" i="5" s="1"/>
  <c r="D28" i="5"/>
  <c r="E28" i="5" s="1"/>
  <c r="D27" i="5"/>
  <c r="E27" i="5" s="1"/>
  <c r="D26" i="5"/>
  <c r="E26" i="5" s="1"/>
  <c r="D25" i="5"/>
  <c r="E25" i="5" s="1"/>
  <c r="D24" i="5"/>
  <c r="E24" i="5" s="1"/>
  <c r="D23" i="5"/>
  <c r="E23" i="5" s="1"/>
  <c r="D22" i="5"/>
  <c r="E22" i="5" s="1"/>
  <c r="D21" i="5"/>
  <c r="E21" i="5" s="1"/>
  <c r="D20" i="5"/>
  <c r="E20" i="5" s="1"/>
  <c r="D19" i="5"/>
  <c r="E19" i="5" s="1"/>
  <c r="D18" i="5"/>
  <c r="E18" i="5" s="1"/>
  <c r="D17" i="5"/>
  <c r="E17" i="5" s="1"/>
  <c r="D16" i="5"/>
  <c r="E16" i="5" s="1"/>
  <c r="D15" i="5"/>
  <c r="E15" i="5" s="1"/>
  <c r="D14" i="5"/>
  <c r="E14" i="5" s="1"/>
  <c r="D13" i="5"/>
  <c r="E13" i="5" s="1"/>
  <c r="D12" i="5"/>
  <c r="E12" i="5" s="1"/>
  <c r="D11" i="5"/>
  <c r="E11" i="5" s="1"/>
  <c r="D10" i="5"/>
  <c r="E10" i="5" s="1"/>
  <c r="D9" i="5"/>
  <c r="E9" i="5" s="1"/>
  <c r="D8" i="5"/>
  <c r="E8" i="5" s="1"/>
  <c r="D7" i="5"/>
  <c r="E7" i="5" s="1"/>
  <c r="D6" i="5"/>
  <c r="E6" i="5" s="1"/>
  <c r="D5" i="5"/>
  <c r="E5" i="5" s="1"/>
  <c r="D4" i="5"/>
  <c r="E4" i="5" s="1"/>
  <c r="D3" i="5"/>
  <c r="E3" i="5" s="1"/>
  <c r="J7" i="5"/>
  <c r="J6" i="5"/>
  <c r="J5" i="5"/>
  <c r="J4" i="5"/>
  <c r="J3" i="5"/>
  <c r="J2" i="5"/>
  <c r="E48" i="4"/>
  <c r="I13" i="4"/>
  <c r="D52" i="4"/>
  <c r="E52" i="4" s="1"/>
  <c r="D51" i="4"/>
  <c r="E51" i="4" s="1"/>
  <c r="D50" i="4"/>
  <c r="E50" i="4" s="1"/>
  <c r="D49" i="4"/>
  <c r="E49" i="4" s="1"/>
  <c r="D48" i="4"/>
  <c r="D47" i="4"/>
  <c r="E47" i="4" s="1"/>
  <c r="D46" i="4"/>
  <c r="E46" i="4" s="1"/>
  <c r="D45" i="4"/>
  <c r="E45" i="4" s="1"/>
  <c r="D44" i="4"/>
  <c r="E44" i="4" s="1"/>
  <c r="D43" i="4"/>
  <c r="E43" i="4" s="1"/>
  <c r="I17" i="4"/>
  <c r="I16" i="4"/>
  <c r="I15" i="4"/>
  <c r="I14" i="4"/>
  <c r="I12" i="4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D5" i="4"/>
  <c r="E5" i="4" s="1"/>
  <c r="D4" i="4"/>
  <c r="E4" i="4" s="1"/>
  <c r="D3" i="4"/>
  <c r="E3" i="4" s="1"/>
  <c r="I8" i="4"/>
  <c r="I7" i="4"/>
  <c r="I6" i="4"/>
  <c r="I5" i="4"/>
  <c r="I3" i="4"/>
  <c r="E37" i="3"/>
  <c r="E29" i="3"/>
  <c r="E21" i="3"/>
  <c r="E13" i="3"/>
  <c r="E5" i="3"/>
  <c r="D52" i="3"/>
  <c r="E52" i="3" s="1"/>
  <c r="D51" i="3"/>
  <c r="E51" i="3" s="1"/>
  <c r="D50" i="3"/>
  <c r="E50" i="3" s="1"/>
  <c r="D49" i="3"/>
  <c r="E49" i="3" s="1"/>
  <c r="D48" i="3"/>
  <c r="E48" i="3" s="1"/>
  <c r="D47" i="3"/>
  <c r="E47" i="3" s="1"/>
  <c r="D46" i="3"/>
  <c r="E46" i="3" s="1"/>
  <c r="D45" i="3"/>
  <c r="E45" i="3" s="1"/>
  <c r="D44" i="3"/>
  <c r="E44" i="3" s="1"/>
  <c r="D43" i="3"/>
  <c r="E43" i="3" s="1"/>
  <c r="J26" i="3"/>
  <c r="J25" i="3"/>
  <c r="J24" i="3"/>
  <c r="J23" i="3"/>
  <c r="J22" i="3"/>
  <c r="D42" i="3"/>
  <c r="E42" i="3" s="1"/>
  <c r="D41" i="3"/>
  <c r="E41" i="3" s="1"/>
  <c r="D40" i="3"/>
  <c r="E40" i="3" s="1"/>
  <c r="D39" i="3"/>
  <c r="E39" i="3" s="1"/>
  <c r="D38" i="3"/>
  <c r="E38" i="3" s="1"/>
  <c r="D37" i="3"/>
  <c r="D36" i="3"/>
  <c r="E36" i="3" s="1"/>
  <c r="D35" i="3"/>
  <c r="E35" i="3" s="1"/>
  <c r="D34" i="3"/>
  <c r="E34" i="3" s="1"/>
  <c r="D33" i="3"/>
  <c r="E33" i="3" s="1"/>
  <c r="D32" i="3"/>
  <c r="E32" i="3" s="1"/>
  <c r="D31" i="3"/>
  <c r="E31" i="3" s="1"/>
  <c r="D30" i="3"/>
  <c r="E30" i="3" s="1"/>
  <c r="D29" i="3"/>
  <c r="D28" i="3"/>
  <c r="E28" i="3" s="1"/>
  <c r="D27" i="3"/>
  <c r="E27" i="3" s="1"/>
  <c r="D26" i="3"/>
  <c r="E26" i="3" s="1"/>
  <c r="D25" i="3"/>
  <c r="E25" i="3" s="1"/>
  <c r="D24" i="3"/>
  <c r="E24" i="3" s="1"/>
  <c r="D23" i="3"/>
  <c r="E23" i="3" s="1"/>
  <c r="D22" i="3"/>
  <c r="E22" i="3" s="1"/>
  <c r="D21" i="3"/>
  <c r="D20" i="3"/>
  <c r="E20" i="3" s="1"/>
  <c r="D19" i="3"/>
  <c r="E19" i="3" s="1"/>
  <c r="D18" i="3"/>
  <c r="E18" i="3" s="1"/>
  <c r="D17" i="3"/>
  <c r="E17" i="3" s="1"/>
  <c r="D16" i="3"/>
  <c r="E16" i="3" s="1"/>
  <c r="D15" i="3"/>
  <c r="E15" i="3" s="1"/>
  <c r="D14" i="3"/>
  <c r="E14" i="3" s="1"/>
  <c r="D13" i="3"/>
  <c r="D12" i="3"/>
  <c r="E12" i="3" s="1"/>
  <c r="D11" i="3"/>
  <c r="E11" i="3" s="1"/>
  <c r="D10" i="3"/>
  <c r="E10" i="3" s="1"/>
  <c r="D9" i="3"/>
  <c r="E9" i="3" s="1"/>
  <c r="D8" i="3"/>
  <c r="E8" i="3" s="1"/>
  <c r="D7" i="3"/>
  <c r="E7" i="3" s="1"/>
  <c r="D6" i="3"/>
  <c r="E6" i="3" s="1"/>
  <c r="D5" i="3"/>
  <c r="D4" i="3"/>
  <c r="E4" i="3" s="1"/>
  <c r="D3" i="3"/>
  <c r="E3" i="3" s="1"/>
  <c r="J10" i="3"/>
  <c r="J9" i="3"/>
  <c r="J8" i="3"/>
  <c r="J7" i="3"/>
  <c r="J6" i="3"/>
  <c r="J5" i="3"/>
  <c r="J4" i="3"/>
  <c r="J3" i="3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E51" i="1"/>
  <c r="E49" i="1"/>
  <c r="E43" i="1"/>
  <c r="D52" i="1"/>
  <c r="E52" i="1" s="1"/>
  <c r="D51" i="1"/>
  <c r="D50" i="1"/>
  <c r="E50" i="1" s="1"/>
  <c r="D49" i="1"/>
  <c r="D48" i="1"/>
  <c r="E48" i="1" s="1"/>
  <c r="D47" i="1"/>
  <c r="E47" i="1" s="1"/>
  <c r="D46" i="1"/>
  <c r="E46" i="1" s="1"/>
  <c r="D45" i="1"/>
  <c r="E45" i="1" s="1"/>
  <c r="D44" i="1"/>
  <c r="E44" i="1" s="1"/>
  <c r="D43" i="1"/>
  <c r="J30" i="1"/>
  <c r="J29" i="1"/>
  <c r="J28" i="1"/>
  <c r="J27" i="1"/>
  <c r="J26" i="1"/>
  <c r="J25" i="1"/>
  <c r="J24" i="1"/>
  <c r="J23" i="1"/>
  <c r="J22" i="1"/>
  <c r="E41" i="1"/>
  <c r="E25" i="1"/>
  <c r="E9" i="1"/>
  <c r="D42" i="1"/>
  <c r="E42" i="1" s="1"/>
  <c r="D41" i="1"/>
  <c r="D40" i="1"/>
  <c r="E40" i="1" s="1"/>
  <c r="D39" i="1"/>
  <c r="E39" i="1" s="1"/>
  <c r="D38" i="1"/>
  <c r="E38" i="1" s="1"/>
  <c r="D37" i="1"/>
  <c r="E37" i="1" s="1"/>
  <c r="D36" i="1"/>
  <c r="E36" i="1" s="1"/>
  <c r="D35" i="1"/>
  <c r="E35" i="1" s="1"/>
  <c r="D34" i="1"/>
  <c r="E34" i="1" s="1"/>
  <c r="D33" i="1"/>
  <c r="E33" i="1" s="1"/>
  <c r="D32" i="1"/>
  <c r="E32" i="1" s="1"/>
  <c r="D31" i="1"/>
  <c r="E31" i="1" s="1"/>
  <c r="D30" i="1"/>
  <c r="E30" i="1" s="1"/>
  <c r="D29" i="1"/>
  <c r="E29" i="1" s="1"/>
  <c r="D28" i="1"/>
  <c r="E28" i="1" s="1"/>
  <c r="D27" i="1"/>
  <c r="E27" i="1" s="1"/>
  <c r="D26" i="1"/>
  <c r="E26" i="1" s="1"/>
  <c r="D25" i="1"/>
  <c r="D24" i="1"/>
  <c r="E24" i="1" s="1"/>
  <c r="D23" i="1"/>
  <c r="E23" i="1" s="1"/>
  <c r="D22" i="1"/>
  <c r="E22" i="1" s="1"/>
  <c r="D21" i="1"/>
  <c r="E21" i="1" s="1"/>
  <c r="D20" i="1"/>
  <c r="E20" i="1" s="1"/>
  <c r="D19" i="1"/>
  <c r="E19" i="1" s="1"/>
  <c r="D18" i="1"/>
  <c r="E18" i="1" s="1"/>
  <c r="D17" i="1"/>
  <c r="E17" i="1" s="1"/>
  <c r="D16" i="1"/>
  <c r="E16" i="1" s="1"/>
  <c r="D15" i="1"/>
  <c r="E15" i="1" s="1"/>
  <c r="D14" i="1"/>
  <c r="E14" i="1" s="1"/>
  <c r="D13" i="1"/>
  <c r="E13" i="1" s="1"/>
  <c r="D12" i="1"/>
  <c r="E12" i="1" s="1"/>
  <c r="D11" i="1"/>
  <c r="E11" i="1" s="1"/>
  <c r="D10" i="1"/>
  <c r="E10" i="1" s="1"/>
  <c r="D9" i="1"/>
  <c r="D8" i="1"/>
  <c r="E8" i="1" s="1"/>
  <c r="D7" i="1"/>
  <c r="E7" i="1" s="1"/>
  <c r="D6" i="1"/>
  <c r="E6" i="1" s="1"/>
  <c r="D5" i="1"/>
  <c r="E5" i="1" s="1"/>
  <c r="D4" i="1"/>
  <c r="E4" i="1" s="1"/>
  <c r="D3" i="1"/>
  <c r="E3" i="1" s="1"/>
  <c r="J12" i="1"/>
  <c r="J11" i="1"/>
  <c r="J10" i="1"/>
  <c r="J9" i="1"/>
  <c r="J8" i="1"/>
  <c r="J7" i="1"/>
  <c r="J6" i="1"/>
  <c r="J5" i="1"/>
  <c r="J4" i="1"/>
  <c r="AK48" i="13" l="1"/>
  <c r="AK52" i="13"/>
  <c r="AK49" i="13"/>
  <c r="AP52" i="13"/>
  <c r="AP51" i="13"/>
  <c r="AP50" i="13"/>
  <c r="AP49" i="13"/>
  <c r="AP48" i="13"/>
  <c r="AK50" i="13"/>
  <c r="AL52" i="13"/>
  <c r="AL51" i="13"/>
  <c r="AL50" i="13"/>
  <c r="AL49" i="13"/>
  <c r="AL48" i="13"/>
  <c r="AK51" i="13"/>
  <c r="AM52" i="13"/>
  <c r="AM48" i="13"/>
  <c r="AM51" i="13"/>
  <c r="AM50" i="13"/>
  <c r="AM49" i="13"/>
  <c r="AN52" i="13"/>
  <c r="AN51" i="13"/>
  <c r="AN50" i="13"/>
  <c r="AN49" i="13"/>
  <c r="AN48" i="13"/>
  <c r="AO52" i="13"/>
  <c r="AO51" i="13"/>
  <c r="AO50" i="13"/>
  <c r="AO49" i="13"/>
  <c r="AO48" i="13"/>
  <c r="AI52" i="13"/>
  <c r="AI51" i="13"/>
  <c r="AI50" i="13"/>
  <c r="AI49" i="13"/>
  <c r="AI48" i="13"/>
  <c r="AJ52" i="13"/>
  <c r="AJ51" i="13"/>
  <c r="AJ50" i="13"/>
  <c r="AJ49" i="13"/>
  <c r="AJ48" i="13"/>
  <c r="AH52" i="13"/>
  <c r="AH51" i="13"/>
  <c r="AH50" i="13"/>
  <c r="AH49" i="13"/>
  <c r="AH48" i="13"/>
</calcChain>
</file>

<file path=xl/sharedStrings.xml><?xml version="1.0" encoding="utf-8"?>
<sst xmlns="http://schemas.openxmlformats.org/spreadsheetml/2006/main" count="921" uniqueCount="194">
  <si>
    <t>Sample</t>
  </si>
  <si>
    <t>Fe</t>
  </si>
  <si>
    <t>Labels</t>
  </si>
  <si>
    <t>Abs</t>
  </si>
  <si>
    <t>Sample 001</t>
  </si>
  <si>
    <t>Sample 002</t>
  </si>
  <si>
    <t>Sample 003</t>
  </si>
  <si>
    <t>Sample 004</t>
  </si>
  <si>
    <t>Sample 005</t>
  </si>
  <si>
    <t>Sample 006</t>
  </si>
  <si>
    <t>Sample 007</t>
  </si>
  <si>
    <t>Sample 008</t>
  </si>
  <si>
    <t>Sample 009</t>
  </si>
  <si>
    <t>Sample 010</t>
  </si>
  <si>
    <t>Sample 011</t>
  </si>
  <si>
    <t>Sample 012</t>
  </si>
  <si>
    <t>Sample 013</t>
  </si>
  <si>
    <t>Sample 014</t>
  </si>
  <si>
    <t>Sample 015</t>
  </si>
  <si>
    <t>Sample 016</t>
  </si>
  <si>
    <t>Sample 017</t>
  </si>
  <si>
    <t>Sample 018</t>
  </si>
  <si>
    <t>Sample 019</t>
  </si>
  <si>
    <t>Sample 020</t>
  </si>
  <si>
    <t>Sample 021</t>
  </si>
  <si>
    <t>Sample 022</t>
  </si>
  <si>
    <t>Sample 023</t>
  </si>
  <si>
    <t>Sample 024</t>
  </si>
  <si>
    <t>Sample 025</t>
  </si>
  <si>
    <t>Sample 026</t>
  </si>
  <si>
    <t>Sample 027</t>
  </si>
  <si>
    <t>Sample 028</t>
  </si>
  <si>
    <t>Sample 029</t>
  </si>
  <si>
    <t>Sample 030</t>
  </si>
  <si>
    <t>Sample 031</t>
  </si>
  <si>
    <t>Sample 032</t>
  </si>
  <si>
    <t>Sample 033</t>
  </si>
  <si>
    <t>Sample 034</t>
  </si>
  <si>
    <t>Sample 035</t>
  </si>
  <si>
    <t>Sample 036</t>
  </si>
  <si>
    <t>Sample 037</t>
  </si>
  <si>
    <t>Sample 038</t>
  </si>
  <si>
    <t>Sample 039</t>
  </si>
  <si>
    <t>Sample 040</t>
  </si>
  <si>
    <t>Sample 041</t>
  </si>
  <si>
    <t>Sample 042</t>
  </si>
  <si>
    <t>Sample 043</t>
  </si>
  <si>
    <t>Sample 044</t>
  </si>
  <si>
    <t>Sample 045</t>
  </si>
  <si>
    <t>Sample 046</t>
  </si>
  <si>
    <t>Sample 047</t>
  </si>
  <si>
    <t>Sample 048</t>
  </si>
  <si>
    <t>Sample 049</t>
  </si>
  <si>
    <t>Sample 050</t>
  </si>
  <si>
    <t>Sample 051</t>
  </si>
  <si>
    <t>Sample 052</t>
  </si>
  <si>
    <t>Sample 053</t>
  </si>
  <si>
    <t>Sample 054</t>
  </si>
  <si>
    <t>Sample 055</t>
  </si>
  <si>
    <t>1====40</t>
  </si>
  <si>
    <t>C, ppm</t>
  </si>
  <si>
    <t>A</t>
  </si>
  <si>
    <t>A-Corr</t>
  </si>
  <si>
    <t>H2O</t>
  </si>
  <si>
    <t>Asma</t>
  </si>
  <si>
    <t>Zn</t>
  </si>
  <si>
    <t>Cu</t>
  </si>
  <si>
    <t>Cr</t>
  </si>
  <si>
    <t>Co</t>
  </si>
  <si>
    <t>A corrected</t>
  </si>
  <si>
    <t>Ni</t>
  </si>
  <si>
    <t>Cd</t>
  </si>
  <si>
    <t>Mn</t>
  </si>
  <si>
    <t>Pb</t>
  </si>
  <si>
    <t>No</t>
  </si>
  <si>
    <t>c, ppm</t>
  </si>
  <si>
    <t>w(g)</t>
  </si>
  <si>
    <t>g</t>
  </si>
  <si>
    <t>B</t>
  </si>
  <si>
    <t xml:space="preserve">numbr of sample </t>
  </si>
  <si>
    <t xml:space="preserve">cod </t>
  </si>
  <si>
    <t>latitude (N)</t>
  </si>
  <si>
    <t>longitude (E)</t>
  </si>
  <si>
    <t>R1</t>
  </si>
  <si>
    <t>572067035E</t>
  </si>
  <si>
    <t>R2</t>
  </si>
  <si>
    <t>515470030E</t>
  </si>
  <si>
    <t>R3</t>
  </si>
  <si>
    <t>522268035E</t>
  </si>
  <si>
    <t>R4</t>
  </si>
  <si>
    <t>532156035E</t>
  </si>
  <si>
    <t>R5</t>
  </si>
  <si>
    <t>51.525131N</t>
  </si>
  <si>
    <t>R6</t>
  </si>
  <si>
    <t>49.608931N</t>
  </si>
  <si>
    <t>53.9314035E</t>
  </si>
  <si>
    <t>R7</t>
  </si>
  <si>
    <t>46.282531N</t>
  </si>
  <si>
    <t>R8</t>
  </si>
  <si>
    <t>45.511931N</t>
  </si>
  <si>
    <t>R9</t>
  </si>
  <si>
    <t>43.558631N</t>
  </si>
  <si>
    <t>57.2067035E</t>
  </si>
  <si>
    <t>L1</t>
  </si>
  <si>
    <t>54.507331N</t>
  </si>
  <si>
    <t>51.1505035E</t>
  </si>
  <si>
    <t>L2</t>
  </si>
  <si>
    <t>42.735131N</t>
  </si>
  <si>
    <t>57.7706035E</t>
  </si>
  <si>
    <t>L3</t>
  </si>
  <si>
    <t>56.3364035E</t>
  </si>
  <si>
    <t>L4</t>
  </si>
  <si>
    <t>56.0017035E</t>
  </si>
  <si>
    <t>L5</t>
  </si>
  <si>
    <t>47.035531N</t>
  </si>
  <si>
    <t>55.7081035E</t>
  </si>
  <si>
    <t>L6</t>
  </si>
  <si>
    <t>51.437631N</t>
  </si>
  <si>
    <t>L7</t>
  </si>
  <si>
    <t>52.513531N</t>
  </si>
  <si>
    <t>L8</t>
  </si>
  <si>
    <t>54.524831N</t>
  </si>
  <si>
    <t>51.1608035E</t>
  </si>
  <si>
    <t>L9</t>
  </si>
  <si>
    <t>L10</t>
  </si>
  <si>
    <t>56.150831N</t>
  </si>
  <si>
    <t xml:space="preserve">for  samples  1m from side </t>
  </si>
  <si>
    <t xml:space="preserve"> road side </t>
  </si>
  <si>
    <t xml:space="preserve">samples </t>
  </si>
  <si>
    <t>mass(g)</t>
  </si>
  <si>
    <r>
      <t>56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.140731N</t>
    </r>
  </si>
  <si>
    <t>55.°214431N</t>
  </si>
  <si>
    <t>53.°446031N</t>
  </si>
  <si>
    <t>52.°565931</t>
  </si>
  <si>
    <r>
      <t xml:space="preserve">Ƙ </t>
    </r>
    <r>
      <rPr>
        <vertAlign val="subscript"/>
        <sz val="9"/>
        <color rgb="FF000000"/>
        <rFont val="Calibri"/>
        <family val="2"/>
      </rPr>
      <t xml:space="preserve">lf </t>
    </r>
    <r>
      <rPr>
        <sz val="9"/>
        <color rgb="FF000000"/>
        <rFont val="Calibri"/>
        <family val="2"/>
      </rPr>
      <t>x10−5 (SI)</t>
    </r>
  </si>
  <si>
    <r>
      <t xml:space="preserve">Ƙ  </t>
    </r>
    <r>
      <rPr>
        <vertAlign val="subscript"/>
        <sz val="9"/>
        <color rgb="FF000000"/>
        <rFont val="Calibri"/>
        <family val="2"/>
      </rPr>
      <t>hf</t>
    </r>
    <r>
      <rPr>
        <sz val="9"/>
        <color rgb="FF000000"/>
        <rFont val="Calibri"/>
        <family val="2"/>
      </rPr>
      <t xml:space="preserve"> x 10−5 (SI)</t>
    </r>
  </si>
  <si>
    <r>
      <rPr>
        <sz val="9"/>
        <color rgb="FF000000"/>
        <rFont val="Calibri"/>
        <family val="2"/>
      </rPr>
      <t xml:space="preserve">χ  </t>
    </r>
    <r>
      <rPr>
        <vertAlign val="subscript"/>
        <sz val="9"/>
        <color rgb="FF000000"/>
        <rFont val="Calibri"/>
        <family val="2"/>
        <scheme val="minor"/>
      </rPr>
      <t>LF</t>
    </r>
    <r>
      <rPr>
        <sz val="9"/>
        <color rgb="FF000000"/>
        <rFont val="Calibri"/>
        <family val="2"/>
        <scheme val="minor"/>
      </rPr>
      <t xml:space="preserve"> × 10−5 (SI)</t>
    </r>
  </si>
  <si>
    <r>
      <rPr>
        <sz val="9"/>
        <color rgb="FF000000"/>
        <rFont val="Calibri"/>
        <family val="2"/>
      </rPr>
      <t xml:space="preserve">χ </t>
    </r>
    <r>
      <rPr>
        <vertAlign val="subscript"/>
        <sz val="9"/>
        <color rgb="FF000000"/>
        <rFont val="Calibri"/>
        <family val="2"/>
        <scheme val="minor"/>
      </rPr>
      <t xml:space="preserve">hf </t>
    </r>
    <r>
      <rPr>
        <sz val="9"/>
        <color rgb="FF000000"/>
        <rFont val="Calibri"/>
        <family val="2"/>
        <scheme val="minor"/>
      </rPr>
      <t>× 10−5 (SI)</t>
    </r>
  </si>
  <si>
    <t>C, mg/l</t>
  </si>
  <si>
    <t>mg/Kg</t>
  </si>
  <si>
    <t>Avg</t>
  </si>
  <si>
    <t>SD</t>
  </si>
  <si>
    <t>Min</t>
  </si>
  <si>
    <t>Max</t>
  </si>
  <si>
    <t>Median</t>
  </si>
  <si>
    <t>Cx/Cfe</t>
  </si>
  <si>
    <t>Enr. Factor</t>
  </si>
  <si>
    <t>χ  LF × 10−5 (SI)</t>
  </si>
  <si>
    <t>χ hf × 10−5 (SI)</t>
  </si>
  <si>
    <t>HF</t>
  </si>
  <si>
    <t>LF</t>
  </si>
  <si>
    <t>Factor Score Coefficients</t>
  </si>
  <si>
    <t>Variable</t>
  </si>
  <si>
    <t>Factor1</t>
  </si>
  <si>
    <t>Factor2</t>
  </si>
  <si>
    <t>Rotated Factor Loadings and Communalities</t>
  </si>
  <si>
    <t>Varimax Rotation</t>
  </si>
  <si>
    <t>Communality</t>
  </si>
  <si>
    <t xml:space="preserve"> </t>
  </si>
  <si>
    <t>Variance</t>
  </si>
  <si>
    <t>% Var</t>
  </si>
  <si>
    <t>Factor3</t>
  </si>
  <si>
    <t>Factor4</t>
  </si>
  <si>
    <t>χ  LF × 10-8 (SI)</t>
  </si>
  <si>
    <r>
      <t xml:space="preserve">                           fine size  &lt;125</t>
    </r>
    <r>
      <rPr>
        <b/>
        <sz val="14"/>
        <color theme="1"/>
        <rFont val="Calibri"/>
        <family val="2"/>
      </rPr>
      <t>µm</t>
    </r>
  </si>
  <si>
    <r>
      <rPr>
        <b/>
        <sz val="12"/>
        <color theme="1"/>
        <rFont val="Arial"/>
        <family val="2"/>
      </rPr>
      <t xml:space="preserve">                             corse size  250-125 </t>
    </r>
    <r>
      <rPr>
        <b/>
        <sz val="12"/>
        <color theme="1"/>
        <rFont val="Calibri"/>
        <family val="2"/>
      </rPr>
      <t>µ</t>
    </r>
    <r>
      <rPr>
        <b/>
        <sz val="12"/>
        <color theme="1"/>
        <rFont val="Arial"/>
        <family val="2"/>
      </rPr>
      <t>m</t>
    </r>
  </si>
  <si>
    <t xml:space="preserve">sample </t>
  </si>
  <si>
    <t xml:space="preserve">direction </t>
  </si>
  <si>
    <t>distance (m)</t>
  </si>
  <si>
    <r>
      <t xml:space="preserve">Ƙ </t>
    </r>
    <r>
      <rPr>
        <b/>
        <vertAlign val="subscript"/>
        <sz val="12"/>
        <color rgb="FF000000"/>
        <rFont val="Calibri"/>
        <family val="2"/>
      </rPr>
      <t xml:space="preserve">lf </t>
    </r>
    <r>
      <rPr>
        <b/>
        <sz val="12"/>
        <color rgb="FF000000"/>
        <rFont val="Calibri"/>
        <family val="2"/>
      </rPr>
      <t>x10^−5 (SI)</t>
    </r>
  </si>
  <si>
    <r>
      <t xml:space="preserve">Ƙ  </t>
    </r>
    <r>
      <rPr>
        <b/>
        <vertAlign val="subscript"/>
        <sz val="12"/>
        <color rgb="FF000000"/>
        <rFont val="Calibri"/>
        <family val="2"/>
      </rPr>
      <t>hf</t>
    </r>
    <r>
      <rPr>
        <b/>
        <sz val="12"/>
        <color rgb="FF000000"/>
        <rFont val="Calibri"/>
        <family val="2"/>
      </rPr>
      <t xml:space="preserve"> x 10^−5 (SI)</t>
    </r>
  </si>
  <si>
    <t>ρ(kg/m3)*10^3</t>
  </si>
  <si>
    <r>
      <rPr>
        <b/>
        <sz val="12"/>
        <color rgb="FF000000"/>
        <rFont val="Calibri"/>
        <family val="2"/>
      </rPr>
      <t xml:space="preserve">χ  </t>
    </r>
    <r>
      <rPr>
        <b/>
        <vertAlign val="subscript"/>
        <sz val="12"/>
        <color rgb="FF000000"/>
        <rFont val="Calibri"/>
        <family val="2"/>
        <scheme val="minor"/>
      </rPr>
      <t>LF</t>
    </r>
    <r>
      <rPr>
        <b/>
        <sz val="12"/>
        <color rgb="FF000000"/>
        <rFont val="Calibri"/>
        <family val="2"/>
        <scheme val="minor"/>
      </rPr>
      <t xml:space="preserve"> × 10-8 (SI)</t>
    </r>
  </si>
  <si>
    <r>
      <rPr>
        <b/>
        <sz val="12"/>
        <color rgb="FF000000"/>
        <rFont val="Calibri"/>
        <family val="2"/>
      </rPr>
      <t xml:space="preserve">χ </t>
    </r>
    <r>
      <rPr>
        <b/>
        <vertAlign val="subscript"/>
        <sz val="16"/>
        <color rgb="FF000000"/>
        <rFont val="Calibri"/>
        <family val="2"/>
        <scheme val="minor"/>
      </rPr>
      <t xml:space="preserve">hf </t>
    </r>
    <r>
      <rPr>
        <b/>
        <sz val="12"/>
        <color rgb="FF000000"/>
        <rFont val="Calibri"/>
        <family val="2"/>
        <scheme val="minor"/>
      </rPr>
      <t>× 10−5 (SI)</t>
    </r>
  </si>
  <si>
    <r>
      <t xml:space="preserve">        χ </t>
    </r>
    <r>
      <rPr>
        <b/>
        <vertAlign val="subscript"/>
        <sz val="16"/>
        <color theme="1"/>
        <rFont val="Calibri"/>
        <family val="2"/>
      </rPr>
      <t>Fd</t>
    </r>
    <r>
      <rPr>
        <b/>
        <sz val="16"/>
        <color theme="1"/>
        <rFont val="Calibri"/>
        <family val="2"/>
      </rPr>
      <t>%= (χ</t>
    </r>
    <r>
      <rPr>
        <b/>
        <vertAlign val="subscript"/>
        <sz val="16"/>
        <color theme="1"/>
        <rFont val="Calibri"/>
        <family val="2"/>
      </rPr>
      <t>lf</t>
    </r>
    <r>
      <rPr>
        <b/>
        <sz val="16"/>
        <color theme="1"/>
        <rFont val="Calibri"/>
        <family val="2"/>
      </rPr>
      <t>-χ</t>
    </r>
    <r>
      <rPr>
        <b/>
        <vertAlign val="subscript"/>
        <sz val="16"/>
        <color theme="1"/>
        <rFont val="Calibri"/>
        <family val="2"/>
      </rPr>
      <t>hf</t>
    </r>
    <r>
      <rPr>
        <b/>
        <sz val="16"/>
        <color theme="1"/>
        <rFont val="Calibri"/>
        <family val="2"/>
      </rPr>
      <t>)/χ</t>
    </r>
    <r>
      <rPr>
        <b/>
        <vertAlign val="subscript"/>
        <sz val="16"/>
        <color theme="1"/>
        <rFont val="Calibri"/>
        <family val="2"/>
      </rPr>
      <t>lf</t>
    </r>
    <r>
      <rPr>
        <b/>
        <sz val="16"/>
        <color theme="1"/>
        <rFont val="Calibri"/>
        <family val="2"/>
      </rPr>
      <t>*100</t>
    </r>
  </si>
  <si>
    <r>
      <t xml:space="preserve">Ƙ </t>
    </r>
    <r>
      <rPr>
        <b/>
        <vertAlign val="subscript"/>
        <sz val="18"/>
        <rFont val="Calibri"/>
        <family val="2"/>
        <scheme val="minor"/>
      </rPr>
      <t>lf</t>
    </r>
    <r>
      <rPr>
        <b/>
        <sz val="12"/>
        <rFont val="Calibri"/>
        <family val="2"/>
        <scheme val="minor"/>
      </rPr>
      <t xml:space="preserve"> x10−5 (SI)</t>
    </r>
  </si>
  <si>
    <r>
      <t xml:space="preserve">Ƙ </t>
    </r>
    <r>
      <rPr>
        <b/>
        <vertAlign val="subscript"/>
        <sz val="18"/>
        <rFont val="Calibri"/>
        <family val="2"/>
        <scheme val="minor"/>
      </rPr>
      <t>hf</t>
    </r>
    <r>
      <rPr>
        <b/>
        <sz val="12"/>
        <rFont val="Calibri"/>
        <family val="2"/>
        <scheme val="minor"/>
      </rPr>
      <t xml:space="preserve"> x10−5 (SI)</t>
    </r>
  </si>
  <si>
    <r>
      <t xml:space="preserve"> </t>
    </r>
    <r>
      <rPr>
        <b/>
        <sz val="12"/>
        <rFont val="Calibri"/>
        <family val="2"/>
        <scheme val="minor"/>
      </rPr>
      <t xml:space="preserve">   </t>
    </r>
    <r>
      <rPr>
        <b/>
        <sz val="16"/>
        <rFont val="Calibri"/>
        <family val="2"/>
        <scheme val="minor"/>
      </rPr>
      <t xml:space="preserve"> χ</t>
    </r>
    <r>
      <rPr>
        <b/>
        <vertAlign val="subscript"/>
        <sz val="18"/>
        <rFont val="Calibri"/>
        <family val="2"/>
        <scheme val="minor"/>
      </rPr>
      <t xml:space="preserve"> lf x</t>
    </r>
    <r>
      <rPr>
        <b/>
        <vertAlign val="subscript"/>
        <sz val="20"/>
        <rFont val="Calibri"/>
        <family val="2"/>
        <scheme val="minor"/>
      </rPr>
      <t>10^-8</t>
    </r>
    <r>
      <rPr>
        <b/>
        <vertAlign val="subscript"/>
        <sz val="18"/>
        <rFont val="Calibri"/>
        <family val="2"/>
        <scheme val="minor"/>
      </rPr>
      <t>(SI)</t>
    </r>
  </si>
  <si>
    <r>
      <t xml:space="preserve"> </t>
    </r>
    <r>
      <rPr>
        <b/>
        <sz val="12"/>
        <rFont val="Calibri"/>
        <family val="2"/>
        <scheme val="minor"/>
      </rPr>
      <t xml:space="preserve">   </t>
    </r>
    <r>
      <rPr>
        <b/>
        <sz val="16"/>
        <rFont val="Calibri"/>
        <family val="2"/>
        <scheme val="minor"/>
      </rPr>
      <t xml:space="preserve"> χ</t>
    </r>
    <r>
      <rPr>
        <b/>
        <vertAlign val="subscript"/>
        <sz val="18"/>
        <rFont val="Calibri"/>
        <family val="2"/>
        <scheme val="minor"/>
      </rPr>
      <t xml:space="preserve"> hf x</t>
    </r>
    <r>
      <rPr>
        <b/>
        <vertAlign val="subscript"/>
        <sz val="20"/>
        <rFont val="Calibri"/>
        <family val="2"/>
        <scheme val="minor"/>
      </rPr>
      <t>10^-8</t>
    </r>
    <r>
      <rPr>
        <b/>
        <vertAlign val="subscript"/>
        <sz val="18"/>
        <rFont val="Calibri"/>
        <family val="2"/>
        <scheme val="minor"/>
      </rPr>
      <t>(SI)</t>
    </r>
  </si>
  <si>
    <r>
      <t xml:space="preserve">     </t>
    </r>
    <r>
      <rPr>
        <b/>
        <sz val="20"/>
        <color rgb="FF000000"/>
        <rFont val="Calibri"/>
        <family val="2"/>
        <scheme val="minor"/>
      </rPr>
      <t>χ</t>
    </r>
    <r>
      <rPr>
        <b/>
        <vertAlign val="subscript"/>
        <sz val="20"/>
        <color rgb="FF000000"/>
        <rFont val="Calibri"/>
        <family val="2"/>
        <scheme val="minor"/>
      </rPr>
      <t xml:space="preserve"> Fd</t>
    </r>
    <r>
      <rPr>
        <b/>
        <sz val="20"/>
        <color rgb="FF000000"/>
        <rFont val="Calibri"/>
        <family val="2"/>
        <scheme val="minor"/>
      </rPr>
      <t>%=(χlf-χhf)/χlf*100</t>
    </r>
  </si>
  <si>
    <t>1m</t>
  </si>
  <si>
    <t>/محطة وقودm1</t>
  </si>
  <si>
    <t>كازية/1ة</t>
  </si>
  <si>
    <t>/غابة1</t>
  </si>
  <si>
    <t>50ة</t>
  </si>
  <si>
    <t>1ة</t>
  </si>
  <si>
    <r>
      <t xml:space="preserve">χ </t>
    </r>
    <r>
      <rPr>
        <b/>
        <vertAlign val="subscript"/>
        <sz val="12"/>
        <color rgb="FF000000"/>
        <rFont val="Calibri"/>
        <family val="2"/>
        <scheme val="minor"/>
      </rPr>
      <t xml:space="preserve"> LF</t>
    </r>
    <r>
      <rPr>
        <b/>
        <sz val="12"/>
        <color rgb="FF000000"/>
        <rFont val="Calibri"/>
        <family val="2"/>
        <scheme val="minor"/>
      </rPr>
      <t xml:space="preserve"> =</t>
    </r>
    <r>
      <rPr>
        <b/>
        <sz val="12"/>
        <color rgb="FF000000"/>
        <rFont val="Calibri"/>
        <family val="2"/>
      </rPr>
      <t>Ƙ</t>
    </r>
    <r>
      <rPr>
        <b/>
        <vertAlign val="subscript"/>
        <sz val="12"/>
        <color rgb="FF000000"/>
        <rFont val="Calibri"/>
        <family val="2"/>
      </rPr>
      <t>lf</t>
    </r>
    <r>
      <rPr>
        <b/>
        <sz val="12"/>
        <color rgb="FF000000"/>
        <rFont val="Calibri"/>
        <family val="2"/>
      </rPr>
      <t>/ρ</t>
    </r>
  </si>
  <si>
    <r>
      <t xml:space="preserve">χ  </t>
    </r>
    <r>
      <rPr>
        <b/>
        <vertAlign val="subscript"/>
        <sz val="12"/>
        <color rgb="FF000000"/>
        <rFont val="Calibri"/>
        <family val="2"/>
        <scheme val="minor"/>
      </rPr>
      <t>hf</t>
    </r>
    <r>
      <rPr>
        <b/>
        <sz val="12"/>
        <color rgb="FF000000"/>
        <rFont val="Calibri"/>
        <family val="2"/>
        <scheme val="minor"/>
      </rPr>
      <t xml:space="preserve"> =Ƙ</t>
    </r>
    <r>
      <rPr>
        <b/>
        <vertAlign val="subscript"/>
        <sz val="12"/>
        <color rgb="FF000000"/>
        <rFont val="Calibri"/>
        <family val="2"/>
        <scheme val="minor"/>
      </rPr>
      <t>hf</t>
    </r>
    <r>
      <rPr>
        <b/>
        <sz val="12"/>
        <color rgb="FF000000"/>
        <rFont val="Calibri"/>
        <family val="2"/>
        <scheme val="minor"/>
      </rPr>
      <t>/ρ</t>
    </r>
  </si>
  <si>
    <t xml:space="preserve">average </t>
  </si>
  <si>
    <t xml:space="preserve">max </t>
  </si>
  <si>
    <t xml:space="preserve">min </t>
  </si>
  <si>
    <t xml:space="preserve">std </t>
  </si>
  <si>
    <r>
      <t>Ƙ=3060x10</t>
    </r>
    <r>
      <rPr>
        <b/>
        <vertAlign val="superscript"/>
        <sz val="11"/>
        <color theme="1"/>
        <rFont val="Calibri"/>
        <family val="2"/>
      </rPr>
      <t>-5</t>
    </r>
  </si>
  <si>
    <t>bottel mass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</si>
</sst>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000"/>
    <numFmt numFmtId="166" formatCode="0.0"/>
  </numFmts>
  <fonts count="3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</font>
    <font>
      <vertAlign val="subscript"/>
      <sz val="9"/>
      <color rgb="FF000000"/>
      <name val="Calibri"/>
      <family val="2"/>
    </font>
    <font>
      <sz val="9"/>
      <color rgb="FF000000"/>
      <name val="Calibri"/>
      <family val="2"/>
      <scheme val="minor"/>
    </font>
    <font>
      <vertAlign val="subscript"/>
      <sz val="9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b/>
      <sz val="12"/>
      <color rgb="FF000000"/>
      <name val="Times New Roman"/>
      <family val="1"/>
    </font>
    <font>
      <b/>
      <sz val="12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b/>
      <vertAlign val="subscript"/>
      <sz val="12"/>
      <color rgb="FF000000"/>
      <name val="Calibri"/>
      <family val="2"/>
    </font>
    <font>
      <b/>
      <vertAlign val="subscript"/>
      <sz val="12"/>
      <color rgb="FF000000"/>
      <name val="Calibri"/>
      <family val="2"/>
      <scheme val="minor"/>
    </font>
    <font>
      <b/>
      <vertAlign val="subscript"/>
      <sz val="16"/>
      <color rgb="FF000000"/>
      <name val="Calibri"/>
      <family val="2"/>
      <scheme val="minor"/>
    </font>
    <font>
      <b/>
      <sz val="16"/>
      <color theme="1"/>
      <name val="Calibri"/>
      <family val="2"/>
    </font>
    <font>
      <b/>
      <vertAlign val="subscript"/>
      <sz val="16"/>
      <color theme="1"/>
      <name val="Calibri"/>
      <family val="2"/>
    </font>
    <font>
      <b/>
      <sz val="12"/>
      <name val="Calibri"/>
      <family val="2"/>
      <scheme val="minor"/>
    </font>
    <font>
      <b/>
      <vertAlign val="subscript"/>
      <sz val="1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vertAlign val="subscript"/>
      <sz val="2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vertAlign val="subscript"/>
      <sz val="2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vertAlign val="superscript"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2" fontId="0" fillId="2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3" borderId="0" xfId="0" applyFill="1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Fill="1"/>
    <xf numFmtId="0" fontId="0" fillId="4" borderId="0" xfId="0" applyFill="1"/>
    <xf numFmtId="0" fontId="1" fillId="2" borderId="0" xfId="0" applyFont="1" applyFill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164" fontId="3" fillId="0" borderId="0" xfId="0" applyNumberFormat="1" applyFont="1" applyFill="1" applyBorder="1" applyAlignment="1">
      <alignment horizontal="center"/>
    </xf>
    <xf numFmtId="165" fontId="3" fillId="0" borderId="0" xfId="0" applyNumberFormat="1" applyFont="1" applyFill="1" applyBorder="1" applyAlignment="1">
      <alignment horizont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164" fontId="3" fillId="2" borderId="0" xfId="0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2" fontId="3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left"/>
    </xf>
    <xf numFmtId="0" fontId="9" fillId="2" borderId="0" xfId="0" applyFont="1" applyFill="1" applyBorder="1"/>
    <xf numFmtId="0" fontId="10" fillId="2" borderId="0" xfId="0" applyFont="1" applyFill="1" applyBorder="1" applyAlignment="1">
      <alignment horizontal="center"/>
    </xf>
    <xf numFmtId="2" fontId="0" fillId="0" borderId="0" xfId="0" applyNumberFormat="1"/>
    <xf numFmtId="166" fontId="3" fillId="2" borderId="0" xfId="0" applyNumberFormat="1" applyFont="1" applyFill="1" applyBorder="1" applyAlignment="1">
      <alignment horizontal="center"/>
    </xf>
    <xf numFmtId="2" fontId="3" fillId="2" borderId="0" xfId="0" applyNumberFormat="1" applyFont="1" applyFill="1" applyBorder="1" applyAlignment="1">
      <alignment horizontal="center"/>
    </xf>
    <xf numFmtId="2" fontId="1" fillId="2" borderId="0" xfId="0" applyNumberFormat="1" applyFont="1" applyFill="1"/>
    <xf numFmtId="0" fontId="5" fillId="2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3" fillId="5" borderId="0" xfId="0" applyFont="1" applyFill="1" applyBorder="1"/>
    <xf numFmtId="164" fontId="3" fillId="5" borderId="0" xfId="0" applyNumberFormat="1" applyFont="1" applyFill="1" applyBorder="1" applyAlignment="1">
      <alignment horizontal="center"/>
    </xf>
    <xf numFmtId="165" fontId="3" fillId="5" borderId="0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2" fillId="6" borderId="0" xfId="0" applyFont="1" applyFill="1" applyBorder="1" applyAlignment="1"/>
    <xf numFmtId="0" fontId="13" fillId="6" borderId="0" xfId="0" applyFont="1" applyFill="1" applyBorder="1" applyAlignment="1"/>
    <xf numFmtId="0" fontId="12" fillId="6" borderId="2" xfId="0" applyFont="1" applyFill="1" applyBorder="1" applyAlignment="1"/>
    <xf numFmtId="0" fontId="0" fillId="0" borderId="0" xfId="0" applyFill="1" applyBorder="1" applyAlignment="1"/>
    <xf numFmtId="0" fontId="14" fillId="0" borderId="0" xfId="0" applyFont="1" applyFill="1" applyAlignment="1">
      <alignment horizontal="center"/>
    </xf>
    <xf numFmtId="0" fontId="15" fillId="0" borderId="0" xfId="0" applyFont="1" applyFill="1"/>
    <xf numFmtId="0" fontId="13" fillId="0" borderId="3" xfId="0" applyFont="1" applyFill="1" applyBorder="1" applyAlignment="1"/>
    <xf numFmtId="0" fontId="15" fillId="0" borderId="3" xfId="0" applyFont="1" applyFill="1" applyBorder="1" applyAlignment="1"/>
    <xf numFmtId="0" fontId="17" fillId="0" borderId="0" xfId="0" applyFont="1" applyFill="1" applyBorder="1" applyAlignment="1"/>
    <xf numFmtId="0" fontId="15" fillId="0" borderId="0" xfId="0" applyFont="1" applyFill="1" applyBorder="1" applyAlignment="1"/>
    <xf numFmtId="0" fontId="19" fillId="0" borderId="4" xfId="0" applyFont="1" applyFill="1" applyBorder="1" applyAlignment="1">
      <alignment horizontal="center"/>
    </xf>
    <xf numFmtId="0" fontId="20" fillId="0" borderId="4" xfId="0" applyFont="1" applyFill="1" applyBorder="1"/>
    <xf numFmtId="0" fontId="21" fillId="0" borderId="4" xfId="0" applyFont="1" applyFill="1" applyBorder="1"/>
    <xf numFmtId="0" fontId="20" fillId="0" borderId="4" xfId="0" applyFont="1" applyFill="1" applyBorder="1" applyAlignment="1">
      <alignment horizontal="right"/>
    </xf>
    <xf numFmtId="0" fontId="20" fillId="0" borderId="4" xfId="0" applyFont="1" applyFill="1" applyBorder="1" applyAlignment="1"/>
    <xf numFmtId="0" fontId="20" fillId="0" borderId="5" xfId="0" applyFont="1" applyFill="1" applyBorder="1" applyAlignment="1"/>
    <xf numFmtId="0" fontId="25" fillId="0" borderId="0" xfId="0" applyFont="1" applyFill="1" applyBorder="1" applyAlignment="1"/>
    <xf numFmtId="0" fontId="27" fillId="0" borderId="6" xfId="0" applyFont="1" applyFill="1" applyBorder="1"/>
    <xf numFmtId="0" fontId="27" fillId="0" borderId="6" xfId="0" applyFont="1" applyFill="1" applyBorder="1" applyAlignment="1">
      <alignment horizontal="right"/>
    </xf>
    <xf numFmtId="0" fontId="29" fillId="0" borderId="6" xfId="0" applyFont="1" applyFill="1" applyBorder="1"/>
    <xf numFmtId="0" fontId="20" fillId="0" borderId="6" xfId="0" applyFont="1" applyFill="1" applyBorder="1"/>
    <xf numFmtId="0" fontId="34" fillId="0" borderId="0" xfId="0" applyFont="1" applyFill="1"/>
    <xf numFmtId="0" fontId="20" fillId="0" borderId="4" xfId="0" applyFont="1" applyFill="1" applyBorder="1" applyAlignment="1">
      <alignment horizontal="center"/>
    </xf>
    <xf numFmtId="0" fontId="20" fillId="0" borderId="5" xfId="0" applyFont="1" applyFill="1" applyBorder="1" applyAlignment="1">
      <alignment horizontal="center"/>
    </xf>
    <xf numFmtId="9" fontId="20" fillId="0" borderId="0" xfId="0" applyNumberFormat="1" applyFont="1" applyFill="1" applyBorder="1" applyAlignment="1">
      <alignment horizontal="center"/>
    </xf>
    <xf numFmtId="0" fontId="20" fillId="0" borderId="6" xfId="0" applyFont="1" applyFill="1" applyBorder="1" applyAlignment="1">
      <alignment horizontal="center"/>
    </xf>
    <xf numFmtId="0" fontId="34" fillId="0" borderId="6" xfId="0" applyFont="1" applyFill="1" applyBorder="1" applyAlignment="1">
      <alignment horizontal="center"/>
    </xf>
    <xf numFmtId="9" fontId="34" fillId="0" borderId="0" xfId="0" applyNumberFormat="1" applyFont="1" applyFill="1" applyAlignment="1">
      <alignment horizontal="center"/>
    </xf>
    <xf numFmtId="0" fontId="35" fillId="0" borderId="4" xfId="0" applyFont="1" applyFill="1" applyBorder="1" applyAlignment="1">
      <alignment horizontal="center"/>
    </xf>
    <xf numFmtId="0" fontId="29" fillId="0" borderId="4" xfId="0" applyFont="1" applyFill="1" applyBorder="1" applyAlignment="1">
      <alignment horizontal="center"/>
    </xf>
    <xf numFmtId="0" fontId="29" fillId="0" borderId="5" xfId="0" applyFont="1" applyFill="1" applyBorder="1" applyAlignment="1">
      <alignment horizontal="center"/>
    </xf>
    <xf numFmtId="9" fontId="29" fillId="0" borderId="0" xfId="0" applyNumberFormat="1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9" fontId="29" fillId="0" borderId="0" xfId="0" applyNumberFormat="1" applyFont="1" applyFill="1" applyAlignment="1">
      <alignment horizontal="center"/>
    </xf>
    <xf numFmtId="0" fontId="29" fillId="0" borderId="0" xfId="0" applyFont="1" applyFill="1"/>
    <xf numFmtId="0" fontId="1" fillId="0" borderId="0" xfId="0" applyFont="1" applyFill="1"/>
    <xf numFmtId="0" fontId="19" fillId="0" borderId="0" xfId="0" applyFont="1" applyFill="1" applyBorder="1" applyAlignment="1">
      <alignment horizontal="center"/>
    </xf>
    <xf numFmtId="0" fontId="34" fillId="0" borderId="0" xfId="0" applyFont="1" applyFill="1" applyAlignment="1">
      <alignment horizontal="center"/>
    </xf>
    <xf numFmtId="0" fontId="20" fillId="0" borderId="7" xfId="0" applyFont="1" applyFill="1" applyBorder="1" applyAlignment="1">
      <alignment horizontal="center"/>
    </xf>
    <xf numFmtId="0" fontId="20" fillId="0" borderId="8" xfId="0" applyFont="1" applyFill="1" applyBorder="1" applyAlignment="1">
      <alignment horizontal="center"/>
    </xf>
    <xf numFmtId="0" fontId="35" fillId="0" borderId="0" xfId="0" applyFont="1" applyFill="1" applyAlignment="1">
      <alignment horizontal="center"/>
    </xf>
    <xf numFmtId="0" fontId="29" fillId="0" borderId="0" xfId="0" applyFont="1" applyFill="1" applyAlignment="1">
      <alignment horizontal="center"/>
    </xf>
    <xf numFmtId="0" fontId="36" fillId="0" borderId="0" xfId="0" applyFont="1" applyFill="1" applyAlignment="1">
      <alignment horizontal="center"/>
    </xf>
    <xf numFmtId="0" fontId="37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400700540406759"/>
          <c:y val="7.9532233863176149E-2"/>
          <c:w val="0.86362294567927589"/>
          <c:h val="0.7429670554034935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solidFill>
                <a:schemeClr val="tx1"/>
              </a:solidFill>
            </a:ln>
            <a:effectLst/>
            <a:sp3d>
              <a:contourClr>
                <a:schemeClr val="tx1"/>
              </a:contourClr>
            </a:sp3d>
          </c:spPr>
          <c:invertIfNegative val="0"/>
          <c:cat>
            <c:strRef>
              <c:f>'Enrichment Factor'!$AS$5:$AS$13</c:f>
              <c:strCache>
                <c:ptCount val="9"/>
                <c:pt idx="0">
                  <c:v>Fe</c:v>
                </c:pt>
                <c:pt idx="1">
                  <c:v>Cr</c:v>
                </c:pt>
                <c:pt idx="2">
                  <c:v>Mn</c:v>
                </c:pt>
                <c:pt idx="3">
                  <c:v>Ni</c:v>
                </c:pt>
                <c:pt idx="4">
                  <c:v>Cu</c:v>
                </c:pt>
                <c:pt idx="5">
                  <c:v>Co</c:v>
                </c:pt>
                <c:pt idx="6">
                  <c:v>Zn</c:v>
                </c:pt>
                <c:pt idx="7">
                  <c:v>Pb</c:v>
                </c:pt>
                <c:pt idx="8">
                  <c:v>Cd</c:v>
                </c:pt>
              </c:strCache>
            </c:strRef>
          </c:cat>
          <c:val>
            <c:numRef>
              <c:f>'Enrichment Factor'!$AT$5:$AT$13</c:f>
              <c:numCache>
                <c:formatCode>0.0</c:formatCode>
                <c:ptCount val="9"/>
                <c:pt idx="0">
                  <c:v>1</c:v>
                </c:pt>
                <c:pt idx="1">
                  <c:v>2.2009732592788041</c:v>
                </c:pt>
                <c:pt idx="2">
                  <c:v>2.4881675648080548</c:v>
                </c:pt>
                <c:pt idx="3">
                  <c:v>5.3382422753539913</c:v>
                </c:pt>
                <c:pt idx="4">
                  <c:v>5.6010942799880903</c:v>
                </c:pt>
                <c:pt idx="5">
                  <c:v>8.0746263743674831</c:v>
                </c:pt>
                <c:pt idx="6">
                  <c:v>9.135313518359288</c:v>
                </c:pt>
                <c:pt idx="7">
                  <c:v>69.36560102760501</c:v>
                </c:pt>
                <c:pt idx="8">
                  <c:v>274.26322402453599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A2-4C23-BA55-883A27C6C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61076624"/>
        <c:axId val="461072360"/>
        <c:axId val="0"/>
      </c:bar3DChart>
      <c:catAx>
        <c:axId val="461076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Element</a:t>
                </a:r>
              </a:p>
            </c:rich>
          </c:tx>
          <c:layout>
            <c:manualLayout>
              <c:xMode val="edge"/>
              <c:yMode val="edge"/>
              <c:x val="0.50503265675872611"/>
              <c:y val="0.920502301284072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072360"/>
        <c:crosses val="autoZero"/>
        <c:auto val="1"/>
        <c:lblAlgn val="ctr"/>
        <c:lblOffset val="100"/>
        <c:noMultiLvlLbl val="0"/>
      </c:catAx>
      <c:valAx>
        <c:axId val="461072360"/>
        <c:scaling>
          <c:logBase val="10"/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EF</a:t>
                </a:r>
              </a:p>
            </c:rich>
          </c:tx>
          <c:layout>
            <c:manualLayout>
              <c:xMode val="edge"/>
              <c:yMode val="edge"/>
              <c:x val="3.3961067366579174E-2"/>
              <c:y val="2.353893263342084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076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25286942257217843"/>
                  <c:y val="-1.436351706036746E-2"/>
                </c:manualLayout>
              </c:layout>
              <c:numFmt formatCode="#,##0.00000" sourceLinked="0"/>
            </c:trendlineLbl>
          </c:trendline>
          <c:xVal>
            <c:numRef>
              <c:f>Fe!$H$4:$H$12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20</c:v>
                </c:pt>
                <c:pt idx="5">
                  <c:v>40</c:v>
                </c:pt>
                <c:pt idx="6">
                  <c:v>60</c:v>
                </c:pt>
                <c:pt idx="7">
                  <c:v>80</c:v>
                </c:pt>
                <c:pt idx="8">
                  <c:v>100</c:v>
                </c:pt>
              </c:numCache>
            </c:numRef>
          </c:xVal>
          <c:yVal>
            <c:numRef>
              <c:f>Fe!$J$4:$J$12</c:f>
              <c:numCache>
                <c:formatCode>General</c:formatCode>
                <c:ptCount val="9"/>
                <c:pt idx="0">
                  <c:v>0</c:v>
                </c:pt>
                <c:pt idx="1">
                  <c:v>2.7900000000000001E-2</c:v>
                </c:pt>
                <c:pt idx="2">
                  <c:v>5.8900000000000001E-2</c:v>
                </c:pt>
                <c:pt idx="3">
                  <c:v>9.1399999999999995E-2</c:v>
                </c:pt>
                <c:pt idx="4">
                  <c:v>0.1454</c:v>
                </c:pt>
                <c:pt idx="5">
                  <c:v>0.29580000000000001</c:v>
                </c:pt>
                <c:pt idx="6">
                  <c:v>0.35320000000000001</c:v>
                </c:pt>
                <c:pt idx="7">
                  <c:v>0.52069999999999994</c:v>
                </c:pt>
                <c:pt idx="8">
                  <c:v>0.61569999999999991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BD-4275-BE00-FD14D18CC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24832"/>
        <c:axId val="136026368"/>
      </c:scatterChart>
      <c:valAx>
        <c:axId val="136024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026368"/>
        <c:crosses val="autoZero"/>
        <c:crossBetween val="midCat"/>
      </c:valAx>
      <c:valAx>
        <c:axId val="1360263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60248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25286942257217843"/>
                  <c:y val="-1.4363517060367465E-2"/>
                </c:manualLayout>
              </c:layout>
              <c:numFmt formatCode="#,##0.00000" sourceLinked="0"/>
            </c:trendlineLbl>
          </c:trendline>
          <c:xVal>
            <c:numRef>
              <c:f>Fe!$H$22:$H$30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20</c:v>
                </c:pt>
                <c:pt idx="5">
                  <c:v>40</c:v>
                </c:pt>
                <c:pt idx="6">
                  <c:v>60</c:v>
                </c:pt>
                <c:pt idx="7">
                  <c:v>80</c:v>
                </c:pt>
                <c:pt idx="8">
                  <c:v>100</c:v>
                </c:pt>
              </c:numCache>
            </c:numRef>
          </c:xVal>
          <c:yVal>
            <c:numRef>
              <c:f>Fe!$J$22:$J$30</c:f>
              <c:numCache>
                <c:formatCode>General</c:formatCode>
                <c:ptCount val="9"/>
                <c:pt idx="0">
                  <c:v>0</c:v>
                </c:pt>
                <c:pt idx="1">
                  <c:v>1.2500000000000001E-2</c:v>
                </c:pt>
                <c:pt idx="2">
                  <c:v>4.0499999999999994E-2</c:v>
                </c:pt>
                <c:pt idx="3">
                  <c:v>7.1099999999999997E-2</c:v>
                </c:pt>
                <c:pt idx="4">
                  <c:v>0.12659999999999999</c:v>
                </c:pt>
                <c:pt idx="5">
                  <c:v>0.27230000000000004</c:v>
                </c:pt>
                <c:pt idx="6">
                  <c:v>0.32940000000000003</c:v>
                </c:pt>
                <c:pt idx="7">
                  <c:v>0.4955</c:v>
                </c:pt>
                <c:pt idx="8">
                  <c:v>0.58809999999999996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58-4031-9619-6EE40FE98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85792"/>
        <c:axId val="187208064"/>
      </c:scatterChart>
      <c:valAx>
        <c:axId val="187185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7208064"/>
        <c:crosses val="autoZero"/>
        <c:crossBetween val="midCat"/>
      </c:valAx>
      <c:valAx>
        <c:axId val="1872080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871857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2607178477690289"/>
                  <c:y val="-1.2602799650043744E-2"/>
                </c:manualLayout>
              </c:layout>
              <c:numFmt formatCode="General" sourceLinked="0"/>
            </c:trendlineLbl>
          </c:trendline>
          <c:xVal>
            <c:numRef>
              <c:f>zn!$F$12:$F$14</c:f>
              <c:numCache>
                <c:formatCode>General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xVal>
          <c:yVal>
            <c:numRef>
              <c:f>zn!$G$12:$G$14</c:f>
              <c:numCache>
                <c:formatCode>General</c:formatCode>
                <c:ptCount val="3"/>
                <c:pt idx="0">
                  <c:v>-2.9999999999999997E-4</c:v>
                </c:pt>
                <c:pt idx="1">
                  <c:v>0.1275</c:v>
                </c:pt>
                <c:pt idx="2">
                  <c:v>0.28639999999999999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B1-4AB5-B724-30F0D0C38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433536"/>
        <c:axId val="188435072"/>
      </c:scatterChart>
      <c:valAx>
        <c:axId val="188433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8435072"/>
        <c:crosses val="autoZero"/>
        <c:crossBetween val="midCat"/>
      </c:valAx>
      <c:valAx>
        <c:axId val="1884350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884335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2607178477690289"/>
                  <c:y val="-1.2602799650043744E-2"/>
                </c:manualLayout>
              </c:layout>
              <c:numFmt formatCode="General" sourceLinked="0"/>
            </c:trendlineLbl>
          </c:trendline>
          <c:xVal>
            <c:numRef>
              <c:f>zn!$F$3:$F$5</c:f>
              <c:numCache>
                <c:formatCode>General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1</c:v>
                </c:pt>
              </c:numCache>
            </c:numRef>
          </c:xVal>
          <c:yVal>
            <c:numRef>
              <c:f>zn!$G$3:$G$5</c:f>
              <c:numCache>
                <c:formatCode>General</c:formatCode>
                <c:ptCount val="3"/>
                <c:pt idx="0">
                  <c:v>-2.9999999999999997E-4</c:v>
                </c:pt>
                <c:pt idx="1">
                  <c:v>0.13389999999999999</c:v>
                </c:pt>
                <c:pt idx="2">
                  <c:v>0.29020000000000001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9B-4A01-9D66-F41D519E3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464128"/>
        <c:axId val="188470016"/>
      </c:scatterChart>
      <c:valAx>
        <c:axId val="188464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8470016"/>
        <c:crosses val="autoZero"/>
        <c:crossBetween val="midCat"/>
      </c:valAx>
      <c:valAx>
        <c:axId val="1884700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884641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25085870516185493"/>
                  <c:y val="-4.7462817147856556E-4"/>
                </c:manualLayout>
              </c:layout>
              <c:numFmt formatCode="#,##0.00000" sourceLinked="0"/>
            </c:trendlineLbl>
          </c:trendline>
          <c:xVal>
            <c:numRef>
              <c:f>cu!$H$3:$H$7</c:f>
              <c:numCache>
                <c:formatCode>General</c:formatCode>
                <c:ptCount val="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</c:numCache>
            </c:numRef>
          </c:xVal>
          <c:yVal>
            <c:numRef>
              <c:f>cu!$J$3:$J$7</c:f>
              <c:numCache>
                <c:formatCode>General</c:formatCode>
                <c:ptCount val="5"/>
                <c:pt idx="0">
                  <c:v>0</c:v>
                </c:pt>
                <c:pt idx="1">
                  <c:v>5.0599999999999999E-2</c:v>
                </c:pt>
                <c:pt idx="2">
                  <c:v>9.0800000000000006E-2</c:v>
                </c:pt>
                <c:pt idx="3">
                  <c:v>0.15839999999999999</c:v>
                </c:pt>
                <c:pt idx="4">
                  <c:v>0.3216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FD-439E-A3AC-4ACDC4DC6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054528"/>
        <c:axId val="188056320"/>
      </c:scatterChart>
      <c:valAx>
        <c:axId val="188054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8056320"/>
        <c:crosses val="autoZero"/>
        <c:crossBetween val="midCat"/>
      </c:valAx>
      <c:valAx>
        <c:axId val="1880563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880545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numFmt formatCode="#,##0.00000" sourceLinked="0"/>
            </c:trendlineLbl>
          </c:trendline>
          <c:xVal>
            <c:numRef>
              <c:f>cu!$H$22:$H$26</c:f>
              <c:numCache>
                <c:formatCode>General</c:formatCode>
                <c:ptCount val="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</c:numCache>
            </c:numRef>
          </c:xVal>
          <c:yVal>
            <c:numRef>
              <c:f>cu!$J$22:$J$26</c:f>
              <c:numCache>
                <c:formatCode>General</c:formatCode>
                <c:ptCount val="5"/>
                <c:pt idx="0">
                  <c:v>0</c:v>
                </c:pt>
                <c:pt idx="1">
                  <c:v>5.0200000000000002E-2</c:v>
                </c:pt>
                <c:pt idx="2">
                  <c:v>9.0700000000000003E-2</c:v>
                </c:pt>
                <c:pt idx="3">
                  <c:v>0.15709999999999999</c:v>
                </c:pt>
                <c:pt idx="4">
                  <c:v>0.32529999999999998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02-44FB-B093-F9267D7B2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085760"/>
        <c:axId val="188087296"/>
      </c:scatterChart>
      <c:valAx>
        <c:axId val="188085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8087296"/>
        <c:crosses val="autoZero"/>
        <c:crossBetween val="midCat"/>
      </c:valAx>
      <c:valAx>
        <c:axId val="1880872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880857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32020406824146991"/>
                  <c:y val="1.5262676829933004E-2"/>
                </c:manualLayout>
              </c:layout>
              <c:numFmt formatCode="#,##0.00000" sourceLinked="0"/>
            </c:trendlineLbl>
          </c:trendline>
          <c:xVal>
            <c:numRef>
              <c:f>cr!$G$3:$G$6</c:f>
              <c:numCache>
                <c:formatCode>General</c:formatCode>
                <c:ptCount val="4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</c:numCache>
            </c:numRef>
          </c:xVal>
          <c:yVal>
            <c:numRef>
              <c:f>cr!$I$3:$I$6</c:f>
              <c:numCache>
                <c:formatCode>General</c:formatCode>
                <c:ptCount val="4"/>
                <c:pt idx="0">
                  <c:v>0</c:v>
                </c:pt>
                <c:pt idx="2">
                  <c:v>2.2200000000000001E-2</c:v>
                </c:pt>
                <c:pt idx="3">
                  <c:v>3.8899999999999997E-2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C5-44EC-96A0-4844A8921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550528"/>
        <c:axId val="188556416"/>
      </c:scatterChart>
      <c:valAx>
        <c:axId val="188550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8556416"/>
        <c:crosses val="autoZero"/>
        <c:crossBetween val="midCat"/>
      </c:valAx>
      <c:valAx>
        <c:axId val="1885564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885505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32020406824147002"/>
                  <c:y val="1.5262676829933005E-2"/>
                </c:manualLayout>
              </c:layout>
              <c:numFmt formatCode="#,##0.00000" sourceLinked="0"/>
            </c:trendlineLbl>
          </c:trendline>
          <c:xVal>
            <c:numRef>
              <c:f>cr!$G$12:$G$15</c:f>
              <c:numCache>
                <c:formatCode>General</c:formatCode>
                <c:ptCount val="4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</c:numCache>
            </c:numRef>
          </c:xVal>
          <c:yVal>
            <c:numRef>
              <c:f>cr!$I$12:$I$15</c:f>
              <c:numCache>
                <c:formatCode>General</c:formatCode>
                <c:ptCount val="4"/>
                <c:pt idx="0">
                  <c:v>0</c:v>
                </c:pt>
                <c:pt idx="1">
                  <c:v>1.17E-2</c:v>
                </c:pt>
                <c:pt idx="2">
                  <c:v>2.2099999999999998E-2</c:v>
                </c:pt>
                <c:pt idx="3">
                  <c:v>4.07E-2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90-4724-B2E8-DF9D4F4D4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589568"/>
        <c:axId val="188591104"/>
      </c:scatterChart>
      <c:valAx>
        <c:axId val="188589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8591104"/>
        <c:crosses val="autoZero"/>
        <c:crossBetween val="midCat"/>
      </c:valAx>
      <c:valAx>
        <c:axId val="1885911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885895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30811439195100626"/>
                  <c:y val="2.4012102653834947E-3"/>
                </c:manualLayout>
              </c:layout>
              <c:numFmt formatCode="#,##0.00000" sourceLinked="0"/>
            </c:trendlineLbl>
          </c:trendline>
          <c:xVal>
            <c:numRef>
              <c:f>Co!$H$2:$H$7</c:f>
              <c:numCache>
                <c:formatCode>General</c:formatCode>
                <c:ptCount val="6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</c:numCache>
            </c:numRef>
          </c:xVal>
          <c:yVal>
            <c:numRef>
              <c:f>Co!$J$2:$J$7</c:f>
              <c:numCache>
                <c:formatCode>General</c:formatCode>
                <c:ptCount val="6"/>
                <c:pt idx="0">
                  <c:v>0</c:v>
                </c:pt>
                <c:pt idx="1">
                  <c:v>1.1599999999999999E-2</c:v>
                </c:pt>
                <c:pt idx="2">
                  <c:v>2.3599999999999999E-2</c:v>
                </c:pt>
                <c:pt idx="3">
                  <c:v>4.1200000000000001E-2</c:v>
                </c:pt>
                <c:pt idx="4">
                  <c:v>8.1900000000000001E-2</c:v>
                </c:pt>
                <c:pt idx="5">
                  <c:v>0.154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EF-40BA-A5F6-D58FD48A9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239872"/>
        <c:axId val="188241408"/>
      </c:scatterChart>
      <c:valAx>
        <c:axId val="188239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8241408"/>
        <c:crosses val="autoZero"/>
        <c:crossBetween val="midCat"/>
      </c:valAx>
      <c:valAx>
        <c:axId val="1882414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882398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30811439195100643"/>
                  <c:y val="2.401210265383496E-3"/>
                </c:manualLayout>
              </c:layout>
              <c:numFmt formatCode="#,##0.00000" sourceLinked="0"/>
            </c:trendlineLbl>
          </c:trendline>
          <c:xVal>
            <c:numRef>
              <c:f>Co!$H$17:$H$22</c:f>
              <c:numCache>
                <c:formatCode>General</c:formatCode>
                <c:ptCount val="6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</c:numCache>
            </c:numRef>
          </c:xVal>
          <c:yVal>
            <c:numRef>
              <c:f>Co!$J$17:$J$22</c:f>
              <c:numCache>
                <c:formatCode>General</c:formatCode>
                <c:ptCount val="6"/>
                <c:pt idx="0">
                  <c:v>0</c:v>
                </c:pt>
                <c:pt idx="1">
                  <c:v>1.0999999999999999E-2</c:v>
                </c:pt>
                <c:pt idx="2">
                  <c:v>2.2600000000000002E-2</c:v>
                </c:pt>
                <c:pt idx="3">
                  <c:v>4.0999999999999995E-2</c:v>
                </c:pt>
                <c:pt idx="4">
                  <c:v>8.2299999999999998E-2</c:v>
                </c:pt>
                <c:pt idx="5">
                  <c:v>0.15430000000000002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28-4D88-8B6E-8E350923D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272640"/>
        <c:axId val="188274176"/>
      </c:scatterChart>
      <c:valAx>
        <c:axId val="18827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8274176"/>
        <c:crosses val="autoZero"/>
        <c:crossBetween val="midCat"/>
      </c:valAx>
      <c:valAx>
        <c:axId val="1882741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882726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21089216972878388"/>
                  <c:y val="-6.7395377661125702E-2"/>
                </c:manualLayout>
              </c:layout>
              <c:numFmt formatCode="#,##0.00000" sourceLinked="0"/>
            </c:trendlineLbl>
          </c:trendline>
          <c:xVal>
            <c:numRef>
              <c:f>ni!$F$5:$F$10</c:f>
              <c:numCache>
                <c:formatCode>General</c:formatCode>
                <c:ptCount val="6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</c:numCache>
            </c:numRef>
          </c:xVal>
          <c:yVal>
            <c:numRef>
              <c:f>ni!$G$5:$G$10</c:f>
              <c:numCache>
                <c:formatCode>General</c:formatCode>
                <c:ptCount val="6"/>
                <c:pt idx="0">
                  <c:v>-1E-4</c:v>
                </c:pt>
                <c:pt idx="1">
                  <c:v>1.2500000000000001E-2</c:v>
                </c:pt>
                <c:pt idx="2">
                  <c:v>2.6200000000000001E-2</c:v>
                </c:pt>
                <c:pt idx="3">
                  <c:v>5.0900000000000001E-2</c:v>
                </c:pt>
                <c:pt idx="4">
                  <c:v>0.1002</c:v>
                </c:pt>
                <c:pt idx="5">
                  <c:v>0.1925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54-4A06-9C35-B62412630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340480"/>
        <c:axId val="188346368"/>
      </c:scatterChart>
      <c:valAx>
        <c:axId val="188340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8346368"/>
        <c:crosses val="autoZero"/>
        <c:crossBetween val="midCat"/>
      </c:valAx>
      <c:valAx>
        <c:axId val="1883463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883404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21089216972878388"/>
                  <c:y val="-6.7395377661125702E-2"/>
                </c:manualLayout>
              </c:layout>
              <c:numFmt formatCode="#,##0.00000" sourceLinked="0"/>
            </c:trendlineLbl>
          </c:trendline>
          <c:xVal>
            <c:numRef>
              <c:f>ni!$F$15:$F$20</c:f>
              <c:numCache>
                <c:formatCode>General</c:formatCode>
                <c:ptCount val="6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</c:numCache>
            </c:numRef>
          </c:xVal>
          <c:yVal>
            <c:numRef>
              <c:f>ni!$G$15:$G$20</c:f>
              <c:numCache>
                <c:formatCode>General</c:formatCode>
                <c:ptCount val="6"/>
                <c:pt idx="0">
                  <c:v>5.0000000000000001E-4</c:v>
                </c:pt>
                <c:pt idx="1">
                  <c:v>1.1599999999999999E-2</c:v>
                </c:pt>
                <c:pt idx="2">
                  <c:v>2.3599999999999999E-2</c:v>
                </c:pt>
                <c:pt idx="3">
                  <c:v>4.8300000000000003E-2</c:v>
                </c:pt>
                <c:pt idx="4">
                  <c:v>9.9699999999999997E-2</c:v>
                </c:pt>
                <c:pt idx="5">
                  <c:v>0.19209999999999999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F6-416B-A86A-1CFDBF820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58912"/>
        <c:axId val="187160448"/>
      </c:scatterChart>
      <c:valAx>
        <c:axId val="187158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7160448"/>
        <c:crosses val="autoZero"/>
        <c:crossBetween val="midCat"/>
      </c:valAx>
      <c:valAx>
        <c:axId val="1871604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871589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22674212598425197"/>
                  <c:y val="-2.8252405949256338E-2"/>
                </c:manualLayout>
              </c:layout>
              <c:numFmt formatCode="#,##0.00000" sourceLinked="0"/>
            </c:trendlineLbl>
          </c:trendline>
          <c:xVal>
            <c:numRef>
              <c:f>Cd!$J$4:$J$8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</c:numCache>
            </c:numRef>
          </c:xVal>
          <c:yVal>
            <c:numRef>
              <c:f>Cd!$L$4:$L$8</c:f>
              <c:numCache>
                <c:formatCode>General</c:formatCode>
                <c:ptCount val="5"/>
                <c:pt idx="0">
                  <c:v>0</c:v>
                </c:pt>
                <c:pt idx="1">
                  <c:v>5.3600000000000002E-2</c:v>
                </c:pt>
                <c:pt idx="2">
                  <c:v>0.13569999999999999</c:v>
                </c:pt>
                <c:pt idx="4">
                  <c:v>0.55570000000000008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6B-4C94-A365-2FFC976B8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447936"/>
        <c:axId val="187453824"/>
      </c:scatterChart>
      <c:valAx>
        <c:axId val="187447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7453824"/>
        <c:crosses val="autoZero"/>
        <c:crossBetween val="midCat"/>
      </c:valAx>
      <c:valAx>
        <c:axId val="1874538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874479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22674212598425197"/>
                  <c:y val="-2.8252405949256338E-2"/>
                </c:manualLayout>
              </c:layout>
              <c:numFmt formatCode="#,##0.00000" sourceLinked="0"/>
            </c:trendlineLbl>
          </c:trendline>
          <c:xVal>
            <c:numRef>
              <c:f>Cd!$J$13:$J$17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</c:numCache>
            </c:numRef>
          </c:xVal>
          <c:yVal>
            <c:numRef>
              <c:f>Cd!$L$13:$L$17</c:f>
              <c:numCache>
                <c:formatCode>General</c:formatCode>
                <c:ptCount val="5"/>
                <c:pt idx="0">
                  <c:v>0</c:v>
                </c:pt>
                <c:pt idx="1">
                  <c:v>5.5199999999999999E-2</c:v>
                </c:pt>
                <c:pt idx="2">
                  <c:v>0.13550000000000001</c:v>
                </c:pt>
                <c:pt idx="4">
                  <c:v>0.5484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9D-485E-B434-7932F6B87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470592"/>
        <c:axId val="187472128"/>
      </c:scatterChart>
      <c:valAx>
        <c:axId val="187470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7472128"/>
        <c:crosses val="autoZero"/>
        <c:crossBetween val="midCat"/>
      </c:valAx>
      <c:valAx>
        <c:axId val="1874721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874705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12415851197791028"/>
                  <c:y val="-2.9728403514778044E-2"/>
                </c:manualLayout>
              </c:layout>
              <c:numFmt formatCode="#,##0.00000" sourceLinked="0"/>
            </c:trendlineLbl>
          </c:trendline>
          <c:xVal>
            <c:numRef>
              <c:f>Mn!$F$3:$F$8</c:f>
              <c:numCache>
                <c:formatCode>General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6</c:v>
                </c:pt>
              </c:numCache>
            </c:numRef>
          </c:xVal>
          <c:yVal>
            <c:numRef>
              <c:f>Mn!$H$3:$H$8</c:f>
              <c:numCache>
                <c:formatCode>General</c:formatCode>
                <c:ptCount val="6"/>
                <c:pt idx="0">
                  <c:v>0</c:v>
                </c:pt>
                <c:pt idx="1">
                  <c:v>4.36E-2</c:v>
                </c:pt>
                <c:pt idx="2">
                  <c:v>8.48E-2</c:v>
                </c:pt>
                <c:pt idx="3">
                  <c:v>0.16540000000000002</c:v>
                </c:pt>
                <c:pt idx="4">
                  <c:v>0.31829999999999997</c:v>
                </c:pt>
                <c:pt idx="5">
                  <c:v>0.4854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4D-4EF4-B8D6-59FAFD488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414976"/>
        <c:axId val="189141760"/>
      </c:scatterChart>
      <c:valAx>
        <c:axId val="188414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9141760"/>
        <c:crosses val="autoZero"/>
        <c:crossBetween val="midCat"/>
      </c:valAx>
      <c:valAx>
        <c:axId val="1891417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884149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12415851197791028"/>
                  <c:y val="-2.9728403514778044E-2"/>
                </c:manualLayout>
              </c:layout>
              <c:numFmt formatCode="#,##0.00000" sourceLinked="0"/>
            </c:trendlineLbl>
          </c:trendline>
          <c:xVal>
            <c:numRef>
              <c:f>Mn!$F$14:$F$17</c:f>
              <c:numCache>
                <c:formatCode>General</c:formatCode>
                <c:ptCount val="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</c:numCache>
            </c:numRef>
          </c:xVal>
          <c:yVal>
            <c:numRef>
              <c:f>Mn!$H$14:$H$17</c:f>
              <c:numCache>
                <c:formatCode>General</c:formatCode>
                <c:ptCount val="4"/>
                <c:pt idx="0">
                  <c:v>0</c:v>
                </c:pt>
                <c:pt idx="1">
                  <c:v>3.6899999999999995E-2</c:v>
                </c:pt>
                <c:pt idx="2">
                  <c:v>7.3599999999999999E-2</c:v>
                </c:pt>
                <c:pt idx="3">
                  <c:v>0.15429999999999999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DB-4CAE-8109-85B2BF4C6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174912"/>
        <c:axId val="189176448"/>
      </c:scatterChart>
      <c:valAx>
        <c:axId val="189174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9176448"/>
        <c:crosses val="autoZero"/>
        <c:crossBetween val="midCat"/>
      </c:valAx>
      <c:valAx>
        <c:axId val="1891764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891749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30919203849518806"/>
                  <c:y val="-7.6786235053951605E-3"/>
                </c:manualLayout>
              </c:layout>
              <c:numFmt formatCode="#,##0.00000" sourceLinked="0"/>
            </c:trendlineLbl>
          </c:trendline>
          <c:xVal>
            <c:numRef>
              <c:f>Pb!$G$4:$G$9</c:f>
              <c:numCache>
                <c:formatCode>General</c:formatCode>
                <c:ptCount val="6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</c:numCache>
            </c:numRef>
          </c:xVal>
          <c:yVal>
            <c:numRef>
              <c:f>Pb!$I$4:$I$9</c:f>
              <c:numCache>
                <c:formatCode>General</c:formatCode>
                <c:ptCount val="6"/>
                <c:pt idx="0">
                  <c:v>0</c:v>
                </c:pt>
                <c:pt idx="1">
                  <c:v>5.1000000000000004E-3</c:v>
                </c:pt>
                <c:pt idx="2">
                  <c:v>1.04E-2</c:v>
                </c:pt>
                <c:pt idx="3">
                  <c:v>1.8100000000000002E-2</c:v>
                </c:pt>
                <c:pt idx="4">
                  <c:v>3.7199999999999997E-2</c:v>
                </c:pt>
                <c:pt idx="5">
                  <c:v>7.7399999999999997E-2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D5-4B12-B577-FFE085CE1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189504"/>
        <c:axId val="189269120"/>
      </c:scatterChart>
      <c:valAx>
        <c:axId val="189189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9269120"/>
        <c:crosses val="autoZero"/>
        <c:crossBetween val="midCat"/>
      </c:valAx>
      <c:valAx>
        <c:axId val="1892691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891895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30919203849518795"/>
                  <c:y val="-7.6786235053951648E-3"/>
                </c:manualLayout>
              </c:layout>
              <c:numFmt formatCode="#,##0.00000" sourceLinked="0"/>
            </c:trendlineLbl>
          </c:trendline>
          <c:xVal>
            <c:numRef>
              <c:f>Pb!$G$15:$G$20</c:f>
              <c:numCache>
                <c:formatCode>General</c:formatCode>
                <c:ptCount val="6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</c:numCache>
            </c:numRef>
          </c:xVal>
          <c:yVal>
            <c:numRef>
              <c:f>Pb!$I$15:$I$20</c:f>
              <c:numCache>
                <c:formatCode>General</c:formatCode>
                <c:ptCount val="6"/>
                <c:pt idx="0">
                  <c:v>0</c:v>
                </c:pt>
                <c:pt idx="1">
                  <c:v>2.8E-3</c:v>
                </c:pt>
                <c:pt idx="2">
                  <c:v>7.899999999999999E-3</c:v>
                </c:pt>
                <c:pt idx="3">
                  <c:v>1.95E-2</c:v>
                </c:pt>
                <c:pt idx="4">
                  <c:v>3.9599999999999996E-2</c:v>
                </c:pt>
                <c:pt idx="5">
                  <c:v>7.4300000000000005E-2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F2-4C7D-9654-BF6949107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14560"/>
        <c:axId val="189316096"/>
      </c:scatterChart>
      <c:valAx>
        <c:axId val="189314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9316096"/>
        <c:crosses val="autoZero"/>
        <c:crossBetween val="midCat"/>
      </c:valAx>
      <c:valAx>
        <c:axId val="1893160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893145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fld id="{1BE177BD-7217-4211-B5FD-648DFB0771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DA3-4FB8-8D7C-666F9209B925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657B9DE4-8E78-4874-AF66-44958AA327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8DA3-4FB8-8D7C-666F9209B925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672FC643-DEA8-4FBD-AC25-BC25915B04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8DA3-4FB8-8D7C-666F9209B925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5E56A112-9751-4771-B33A-8A3E762C53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8DA3-4FB8-8D7C-666F9209B925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02EE1277-1330-4A65-BB4B-291109082C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8DA3-4FB8-8D7C-666F9209B925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0B2EDB8E-02DF-48EC-8948-1CEF43BB3C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8DA3-4FB8-8D7C-666F9209B925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61000859-8628-4767-B226-032DC6F347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8DA3-4FB8-8D7C-666F9209B925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8E0C90C1-2AEB-4D68-854D-23D30D5E53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8DA3-4FB8-8D7C-666F9209B925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FA91E6AD-AB09-4BC1-A4D1-F3DF479D7C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8DA3-4FB8-8D7C-666F9209B925}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0E34AEF7-3ADD-4F00-A45F-F7C1D22A48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8DA3-4FB8-8D7C-666F9209B925}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5C2176CC-6EE8-441D-B0B4-47EDE765E8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8DA3-4FB8-8D7C-666F9209B9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'Factor Analysis'!$V$4:$V$14</c:f>
              <c:numCache>
                <c:formatCode>General</c:formatCode>
                <c:ptCount val="11"/>
                <c:pt idx="0">
                  <c:v>0.255</c:v>
                </c:pt>
                <c:pt idx="1">
                  <c:v>-6.2E-2</c:v>
                </c:pt>
                <c:pt idx="2">
                  <c:v>-0.04</c:v>
                </c:pt>
                <c:pt idx="3">
                  <c:v>0.219</c:v>
                </c:pt>
                <c:pt idx="4">
                  <c:v>0.21299999999999999</c:v>
                </c:pt>
                <c:pt idx="5">
                  <c:v>0.193</c:v>
                </c:pt>
                <c:pt idx="6">
                  <c:v>0.245</c:v>
                </c:pt>
                <c:pt idx="7">
                  <c:v>4.0000000000000001E-3</c:v>
                </c:pt>
                <c:pt idx="8">
                  <c:v>2.5000000000000001E-2</c:v>
                </c:pt>
                <c:pt idx="9">
                  <c:v>4.2000000000000003E-2</c:v>
                </c:pt>
                <c:pt idx="10">
                  <c:v>3.6999999999999998E-2</c:v>
                </c:pt>
              </c:numCache>
            </c:numRef>
          </c:xVal>
          <c:yVal>
            <c:numRef>
              <c:f>'Factor Analysis'!$W$4:$W$14</c:f>
              <c:numCache>
                <c:formatCode>General</c:formatCode>
                <c:ptCount val="11"/>
                <c:pt idx="0">
                  <c:v>-5.8999999999999997E-2</c:v>
                </c:pt>
                <c:pt idx="1">
                  <c:v>0.20200000000000001</c:v>
                </c:pt>
                <c:pt idx="2">
                  <c:v>0.24</c:v>
                </c:pt>
                <c:pt idx="3">
                  <c:v>-3.4000000000000002E-2</c:v>
                </c:pt>
                <c:pt idx="4">
                  <c:v>2.8000000000000001E-2</c:v>
                </c:pt>
                <c:pt idx="5">
                  <c:v>6.6000000000000003E-2</c:v>
                </c:pt>
                <c:pt idx="6">
                  <c:v>-0.10100000000000001</c:v>
                </c:pt>
                <c:pt idx="7">
                  <c:v>0.192</c:v>
                </c:pt>
                <c:pt idx="8">
                  <c:v>-5.6000000000000001E-2</c:v>
                </c:pt>
                <c:pt idx="9">
                  <c:v>0.24</c:v>
                </c:pt>
                <c:pt idx="10">
                  <c:v>0.24199999999999999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'Factor Analysis'!$U$4:$U$14</c15:f>
                <c15:dlblRangeCache>
                  <c:ptCount val="11"/>
                  <c:pt idx="0">
                    <c:v>Fe</c:v>
                  </c:pt>
                  <c:pt idx="1">
                    <c:v>Zn</c:v>
                  </c:pt>
                  <c:pt idx="2">
                    <c:v>Cu</c:v>
                  </c:pt>
                  <c:pt idx="3">
                    <c:v>Cr</c:v>
                  </c:pt>
                  <c:pt idx="4">
                    <c:v>Co</c:v>
                  </c:pt>
                  <c:pt idx="5">
                    <c:v>Ni</c:v>
                  </c:pt>
                  <c:pt idx="6">
                    <c:v>Mn</c:v>
                  </c:pt>
                  <c:pt idx="7">
                    <c:v>Pb</c:v>
                  </c:pt>
                  <c:pt idx="8">
                    <c:v>Cd</c:v>
                  </c:pt>
                  <c:pt idx="9">
                    <c:v>LF</c:v>
                  </c:pt>
                  <c:pt idx="10">
                    <c:v>HF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DA3-4FB8-8D7C-666F9209B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647896"/>
        <c:axId val="512646256"/>
      </c:scatterChart>
      <c:valAx>
        <c:axId val="512647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646256"/>
        <c:crosses val="autoZero"/>
        <c:crossBetween val="midCat"/>
      </c:valAx>
      <c:valAx>
        <c:axId val="51264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647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fld id="{5A782BED-EA1D-48E9-AFE1-7B00B00DEB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0BC-4089-A13A-6B4A19F76D3F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94F64CA3-54F8-41F0-9933-2E4CD7ED68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0BC-4089-A13A-6B4A19F76D3F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F4ADE5FB-D970-4A2C-A9A9-AB365EC8F5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0BC-4089-A13A-6B4A19F76D3F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630F9A21-3071-4305-B4E6-75BEF0C3C5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0BC-4089-A13A-6B4A19F76D3F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97F9C153-690C-4CE3-A934-21D904C403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0BC-4089-A13A-6B4A19F76D3F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A5ABE496-3A8B-4360-89A4-1B987208C6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C0BC-4089-A13A-6B4A19F76D3F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9BD0DEBB-60E5-48E5-A140-4CCDAC0EE6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C0BC-4089-A13A-6B4A19F76D3F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CD15A518-91BA-40F0-9E4B-AFF3665AEE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C0BC-4089-A13A-6B4A19F76D3F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6A906564-BCA9-469A-83EC-A24A65F011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C0BC-4089-A13A-6B4A19F76D3F}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8E33ADC7-C552-4DFA-97A7-EC87047D73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C0BC-4089-A13A-6B4A19F76D3F}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AE3AE7B3-40D5-40BB-9E83-8FE9842523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C0BC-4089-A13A-6B4A19F76D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'Factor Analysis'!$V$27:$V$37</c:f>
              <c:numCache>
                <c:formatCode>General</c:formatCode>
                <c:ptCount val="11"/>
                <c:pt idx="0">
                  <c:v>0.26</c:v>
                </c:pt>
                <c:pt idx="1">
                  <c:v>-5.7000000000000002E-2</c:v>
                </c:pt>
                <c:pt idx="2">
                  <c:v>-6.3E-2</c:v>
                </c:pt>
                <c:pt idx="3">
                  <c:v>0.23</c:v>
                </c:pt>
                <c:pt idx="4">
                  <c:v>0.20300000000000001</c:v>
                </c:pt>
                <c:pt idx="5">
                  <c:v>0.189</c:v>
                </c:pt>
                <c:pt idx="6">
                  <c:v>0.254</c:v>
                </c:pt>
                <c:pt idx="7">
                  <c:v>-6.0000000000000001E-3</c:v>
                </c:pt>
                <c:pt idx="8">
                  <c:v>-3.7999999999999999E-2</c:v>
                </c:pt>
                <c:pt idx="9">
                  <c:v>2.4E-2</c:v>
                </c:pt>
                <c:pt idx="10">
                  <c:v>0.02</c:v>
                </c:pt>
              </c:numCache>
            </c:numRef>
          </c:xVal>
          <c:yVal>
            <c:numRef>
              <c:f>'Factor Analysis'!$W$27:$W$37</c:f>
              <c:numCache>
                <c:formatCode>General</c:formatCode>
                <c:ptCount val="11"/>
                <c:pt idx="0">
                  <c:v>-0.05</c:v>
                </c:pt>
                <c:pt idx="1">
                  <c:v>0.17499999999999999</c:v>
                </c:pt>
                <c:pt idx="2">
                  <c:v>0.253</c:v>
                </c:pt>
                <c:pt idx="3">
                  <c:v>-3.6999999999999998E-2</c:v>
                </c:pt>
                <c:pt idx="4">
                  <c:v>5.1999999999999998E-2</c:v>
                </c:pt>
                <c:pt idx="5">
                  <c:v>7.6999999999999999E-2</c:v>
                </c:pt>
                <c:pt idx="6">
                  <c:v>-9.2999999999999999E-2</c:v>
                </c:pt>
                <c:pt idx="7">
                  <c:v>0.191</c:v>
                </c:pt>
                <c:pt idx="8">
                  <c:v>4.2000000000000003E-2</c:v>
                </c:pt>
                <c:pt idx="9">
                  <c:v>0.249</c:v>
                </c:pt>
                <c:pt idx="10">
                  <c:v>0.251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'Factor Analysis'!$U$27:$U$37</c15:f>
                <c15:dlblRangeCache>
                  <c:ptCount val="11"/>
                  <c:pt idx="0">
                    <c:v>Fe</c:v>
                  </c:pt>
                  <c:pt idx="1">
                    <c:v>Zn</c:v>
                  </c:pt>
                  <c:pt idx="2">
                    <c:v>Cu</c:v>
                  </c:pt>
                  <c:pt idx="3">
                    <c:v>Cr</c:v>
                  </c:pt>
                  <c:pt idx="4">
                    <c:v>Co</c:v>
                  </c:pt>
                  <c:pt idx="5">
                    <c:v>Ni</c:v>
                  </c:pt>
                  <c:pt idx="6">
                    <c:v>Mn</c:v>
                  </c:pt>
                  <c:pt idx="7">
                    <c:v>Pb</c:v>
                  </c:pt>
                  <c:pt idx="8">
                    <c:v>Cd</c:v>
                  </c:pt>
                  <c:pt idx="9">
                    <c:v>LF</c:v>
                  </c:pt>
                  <c:pt idx="10">
                    <c:v>HF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C0BC-4089-A13A-6B4A19F76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0561144"/>
        <c:axId val="420555896"/>
      </c:scatterChart>
      <c:valAx>
        <c:axId val="420561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555896"/>
        <c:crosses val="autoZero"/>
        <c:crossBetween val="midCat"/>
      </c:valAx>
      <c:valAx>
        <c:axId val="420555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561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0903324584427E-2"/>
          <c:y val="0.19721055701370663"/>
          <c:w val="0.90342366579177602"/>
          <c:h val="0.77736111111111106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fld id="{FF299451-CF71-41B4-AA89-65FE242617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3E5-4F6C-9ADC-6B571A7D59A8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FE285F73-2965-4C12-8CE0-D586906F39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3E5-4F6C-9ADC-6B571A7D59A8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2557F48D-7AB0-46A8-9694-3DB7C6202F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3E5-4F6C-9ADC-6B571A7D59A8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3CA078EE-59DD-47C6-BFEC-37B06E9FCE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3E5-4F6C-9ADC-6B571A7D59A8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090DEDF4-4B88-49EF-A121-867EC6EE73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3E5-4F6C-9ADC-6B571A7D59A8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67E46488-8102-4BFC-AE63-AE5BDFFBBB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3E5-4F6C-9ADC-6B571A7D59A8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29E2474A-5C3E-4A77-A1B4-C4DEDE1C4C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33E5-4F6C-9ADC-6B571A7D59A8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9F2EC1F2-D3C0-4173-A756-CDCD6A51A2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33E5-4F6C-9ADC-6B571A7D59A8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E5AFEC0C-C7F7-46F8-903B-7AC22221DC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33E5-4F6C-9ADC-6B571A7D59A8}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E5A45241-FEB9-41E6-84D1-4EBADF23CD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33E5-4F6C-9ADC-6B571A7D59A8}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E0394B86-D6B1-46E5-B5AA-6C287ABD4B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33E5-4F6C-9ADC-6B571A7D59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'Factor Analysis'!$V$27:$V$37</c:f>
              <c:numCache>
                <c:formatCode>General</c:formatCode>
                <c:ptCount val="11"/>
                <c:pt idx="0">
                  <c:v>0.26</c:v>
                </c:pt>
                <c:pt idx="1">
                  <c:v>-5.7000000000000002E-2</c:v>
                </c:pt>
                <c:pt idx="2">
                  <c:v>-6.3E-2</c:v>
                </c:pt>
                <c:pt idx="3">
                  <c:v>0.23</c:v>
                </c:pt>
                <c:pt idx="4">
                  <c:v>0.20300000000000001</c:v>
                </c:pt>
                <c:pt idx="5">
                  <c:v>0.189</c:v>
                </c:pt>
                <c:pt idx="6">
                  <c:v>0.254</c:v>
                </c:pt>
                <c:pt idx="7">
                  <c:v>-6.0000000000000001E-3</c:v>
                </c:pt>
                <c:pt idx="8">
                  <c:v>-3.7999999999999999E-2</c:v>
                </c:pt>
                <c:pt idx="9">
                  <c:v>2.4E-2</c:v>
                </c:pt>
                <c:pt idx="10">
                  <c:v>0.02</c:v>
                </c:pt>
              </c:numCache>
            </c:numRef>
          </c:xVal>
          <c:yVal>
            <c:numRef>
              <c:f>'Factor Analysis'!$X$27:$X$37</c:f>
              <c:numCache>
                <c:formatCode>General</c:formatCode>
                <c:ptCount val="11"/>
                <c:pt idx="0">
                  <c:v>-0.03</c:v>
                </c:pt>
                <c:pt idx="1">
                  <c:v>-0.23799999999999999</c:v>
                </c:pt>
                <c:pt idx="2">
                  <c:v>0.13</c:v>
                </c:pt>
                <c:pt idx="3">
                  <c:v>-0.127</c:v>
                </c:pt>
                <c:pt idx="4">
                  <c:v>0.129</c:v>
                </c:pt>
                <c:pt idx="5">
                  <c:v>3.0000000000000001E-3</c:v>
                </c:pt>
                <c:pt idx="6">
                  <c:v>-3.6999999999999998E-2</c:v>
                </c:pt>
                <c:pt idx="7">
                  <c:v>-1.4999999999999999E-2</c:v>
                </c:pt>
                <c:pt idx="8">
                  <c:v>0.92700000000000005</c:v>
                </c:pt>
                <c:pt idx="9">
                  <c:v>5.7000000000000002E-2</c:v>
                </c:pt>
                <c:pt idx="10">
                  <c:v>5.6000000000000001E-2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'Factor Analysis'!$U$27:$U$37</c15:f>
                <c15:dlblRangeCache>
                  <c:ptCount val="11"/>
                  <c:pt idx="0">
                    <c:v>Fe</c:v>
                  </c:pt>
                  <c:pt idx="1">
                    <c:v>Zn</c:v>
                  </c:pt>
                  <c:pt idx="2">
                    <c:v>Cu</c:v>
                  </c:pt>
                  <c:pt idx="3">
                    <c:v>Cr</c:v>
                  </c:pt>
                  <c:pt idx="4">
                    <c:v>Co</c:v>
                  </c:pt>
                  <c:pt idx="5">
                    <c:v>Ni</c:v>
                  </c:pt>
                  <c:pt idx="6">
                    <c:v>Mn</c:v>
                  </c:pt>
                  <c:pt idx="7">
                    <c:v>Pb</c:v>
                  </c:pt>
                  <c:pt idx="8">
                    <c:v>Cd</c:v>
                  </c:pt>
                  <c:pt idx="9">
                    <c:v>LF</c:v>
                  </c:pt>
                  <c:pt idx="10">
                    <c:v>HF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3E5-4F6C-9ADC-6B571A7D5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0569016"/>
        <c:axId val="420569672"/>
      </c:scatterChart>
      <c:valAx>
        <c:axId val="420569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569672"/>
        <c:crosses val="autoZero"/>
        <c:crossBetween val="midCat"/>
      </c:valAx>
      <c:valAx>
        <c:axId val="42056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569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6D0C3AF-B013-47D6-88B0-E8A14CD1B9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9EB8-40E9-AB0C-89CE604B28A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AAD458C-36B3-42D4-9F4A-3D3ABEC460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9EB8-40E9-AB0C-89CE604B28A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2A2F1E9-F7CA-4759-BE3F-B4577E04CC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9EB8-40E9-AB0C-89CE604B28A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2FAF29A-9EAA-47F4-AE38-A17999BD31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9EB8-40E9-AB0C-89CE604B28A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195AB95-AE60-4ECB-BE8A-99A0ADB440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9EB8-40E9-AB0C-89CE604B28A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066878E-C103-4A9E-8F09-4641258580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9EB8-40E9-AB0C-89CE604B28A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FE5C643-3EC1-403C-ACC4-03C1462469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9EB8-40E9-AB0C-89CE604B28A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9DC2B54-560C-4F95-9827-91226FA1F5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9EB8-40E9-AB0C-89CE604B28A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300E884-D729-490B-B2E3-9F9D32CD37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9EB8-40E9-AB0C-89CE604B28A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60AA8DB-3BAB-4FDB-8150-8858FC0219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9EB8-40E9-AB0C-89CE604B28A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5600381-DE10-4A28-9804-18832F5F37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9EB8-40E9-AB0C-89CE604B28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'Factor Analysis'!$W$48:$W$58</c:f>
              <c:numCache>
                <c:formatCode>General</c:formatCode>
                <c:ptCount val="11"/>
                <c:pt idx="0">
                  <c:v>0.26100000000000001</c:v>
                </c:pt>
                <c:pt idx="1">
                  <c:v>-5.8999999999999997E-2</c:v>
                </c:pt>
                <c:pt idx="2">
                  <c:v>-7.2999999999999995E-2</c:v>
                </c:pt>
                <c:pt idx="3">
                  <c:v>0.23599999999999999</c:v>
                </c:pt>
                <c:pt idx="4">
                  <c:v>0.20300000000000001</c:v>
                </c:pt>
                <c:pt idx="5">
                  <c:v>0.18099999999999999</c:v>
                </c:pt>
                <c:pt idx="6">
                  <c:v>0.254</c:v>
                </c:pt>
                <c:pt idx="7">
                  <c:v>2E-3</c:v>
                </c:pt>
                <c:pt idx="8">
                  <c:v>-3.5999999999999997E-2</c:v>
                </c:pt>
                <c:pt idx="9">
                  <c:v>1.7999999999999999E-2</c:v>
                </c:pt>
                <c:pt idx="10">
                  <c:v>1.2999999999999999E-2</c:v>
                </c:pt>
              </c:numCache>
            </c:numRef>
          </c:xVal>
          <c:yVal>
            <c:numRef>
              <c:f>'Factor Analysis'!$X$48:$X$58</c:f>
              <c:numCache>
                <c:formatCode>General</c:formatCode>
                <c:ptCount val="11"/>
                <c:pt idx="0">
                  <c:v>-3.2000000000000001E-2</c:v>
                </c:pt>
                <c:pt idx="1">
                  <c:v>0.126</c:v>
                </c:pt>
                <c:pt idx="2">
                  <c:v>0.377</c:v>
                </c:pt>
                <c:pt idx="3">
                  <c:v>-0.156</c:v>
                </c:pt>
                <c:pt idx="4">
                  <c:v>1.6E-2</c:v>
                </c:pt>
                <c:pt idx="5">
                  <c:v>0.22700000000000001</c:v>
                </c:pt>
                <c:pt idx="6">
                  <c:v>-5.6000000000000001E-2</c:v>
                </c:pt>
                <c:pt idx="7">
                  <c:v>-0.112</c:v>
                </c:pt>
                <c:pt idx="8">
                  <c:v>3.9E-2</c:v>
                </c:pt>
                <c:pt idx="9">
                  <c:v>0.27400000000000002</c:v>
                </c:pt>
                <c:pt idx="10">
                  <c:v>0.27700000000000002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'Factor Analysis'!$O$49:$O$59</c15:f>
                <c15:dlblRangeCache>
                  <c:ptCount val="11"/>
                  <c:pt idx="0">
                    <c:v>Fe</c:v>
                  </c:pt>
                  <c:pt idx="1">
                    <c:v>Zn</c:v>
                  </c:pt>
                  <c:pt idx="2">
                    <c:v>Cu</c:v>
                  </c:pt>
                  <c:pt idx="3">
                    <c:v>Cr</c:v>
                  </c:pt>
                  <c:pt idx="4">
                    <c:v>Co</c:v>
                  </c:pt>
                  <c:pt idx="5">
                    <c:v>Ni</c:v>
                  </c:pt>
                  <c:pt idx="6">
                    <c:v>Mn</c:v>
                  </c:pt>
                  <c:pt idx="7">
                    <c:v>Pb</c:v>
                  </c:pt>
                  <c:pt idx="8">
                    <c:v>Cd</c:v>
                  </c:pt>
                  <c:pt idx="9">
                    <c:v>LF</c:v>
                  </c:pt>
                  <c:pt idx="10">
                    <c:v>HF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EB8-40E9-AB0C-89CE604B2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656752"/>
        <c:axId val="512662328"/>
      </c:scatterChart>
      <c:valAx>
        <c:axId val="51265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662328"/>
        <c:crosses val="autoZero"/>
        <c:crossBetween val="midCat"/>
      </c:valAx>
      <c:valAx>
        <c:axId val="512662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656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4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25401</xdr:colOff>
      <xdr:row>15</xdr:row>
      <xdr:rowOff>76200</xdr:rowOff>
    </xdr:from>
    <xdr:to>
      <xdr:col>51</xdr:col>
      <xdr:colOff>338667</xdr:colOff>
      <xdr:row>34</xdr:row>
      <xdr:rowOff>156634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504825</xdr:colOff>
      <xdr:row>1</xdr:row>
      <xdr:rowOff>180975</xdr:rowOff>
    </xdr:from>
    <xdr:to>
      <xdr:col>18</xdr:col>
      <xdr:colOff>200025</xdr:colOff>
      <xdr:row>16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20</xdr:row>
      <xdr:rowOff>0</xdr:rowOff>
    </xdr:from>
    <xdr:to>
      <xdr:col>18</xdr:col>
      <xdr:colOff>304800</xdr:colOff>
      <xdr:row>34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85725</xdr:colOff>
      <xdr:row>13</xdr:row>
      <xdr:rowOff>95250</xdr:rowOff>
    </xdr:from>
    <xdr:to>
      <xdr:col>16</xdr:col>
      <xdr:colOff>390525</xdr:colOff>
      <xdr:row>27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28575</xdr:colOff>
      <xdr:row>0</xdr:row>
      <xdr:rowOff>19050</xdr:rowOff>
    </xdr:from>
    <xdr:to>
      <xdr:col>17</xdr:col>
      <xdr:colOff>333375</xdr:colOff>
      <xdr:row>14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590550</xdr:colOff>
      <xdr:row>2</xdr:row>
      <xdr:rowOff>123825</xdr:rowOff>
    </xdr:from>
    <xdr:to>
      <xdr:col>18</xdr:col>
      <xdr:colOff>285750</xdr:colOff>
      <xdr:row>17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20</xdr:row>
      <xdr:rowOff>0</xdr:rowOff>
    </xdr:from>
    <xdr:to>
      <xdr:col>18</xdr:col>
      <xdr:colOff>304800</xdr:colOff>
      <xdr:row>34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504825</xdr:colOff>
      <xdr:row>2</xdr:row>
      <xdr:rowOff>85725</xdr:rowOff>
    </xdr:from>
    <xdr:to>
      <xdr:col>17</xdr:col>
      <xdr:colOff>200025</xdr:colOff>
      <xdr:row>18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20</xdr:row>
      <xdr:rowOff>0</xdr:rowOff>
    </xdr:from>
    <xdr:to>
      <xdr:col>17</xdr:col>
      <xdr:colOff>304800</xdr:colOff>
      <xdr:row>35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238125</xdr:colOff>
      <xdr:row>3</xdr:row>
      <xdr:rowOff>133350</xdr:rowOff>
    </xdr:from>
    <xdr:to>
      <xdr:col>18</xdr:col>
      <xdr:colOff>542925</xdr:colOff>
      <xdr:row>18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21</xdr:row>
      <xdr:rowOff>0</xdr:rowOff>
    </xdr:from>
    <xdr:to>
      <xdr:col>18</xdr:col>
      <xdr:colOff>304800</xdr:colOff>
      <xdr:row>35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542925</xdr:colOff>
      <xdr:row>2</xdr:row>
      <xdr:rowOff>104775</xdr:rowOff>
    </xdr:from>
    <xdr:to>
      <xdr:col>18</xdr:col>
      <xdr:colOff>238125</xdr:colOff>
      <xdr:row>16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18</xdr:col>
      <xdr:colOff>304800</xdr:colOff>
      <xdr:row>33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47625</xdr:colOff>
      <xdr:row>2</xdr:row>
      <xdr:rowOff>0</xdr:rowOff>
    </xdr:from>
    <xdr:to>
      <xdr:col>21</xdr:col>
      <xdr:colOff>352425</xdr:colOff>
      <xdr:row>16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21</xdr:col>
      <xdr:colOff>304800</xdr:colOff>
      <xdr:row>33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257175</xdr:colOff>
      <xdr:row>1</xdr:row>
      <xdr:rowOff>123825</xdr:rowOff>
    </xdr:from>
    <xdr:to>
      <xdr:col>14</xdr:col>
      <xdr:colOff>504825</xdr:colOff>
      <xdr:row>10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219074</xdr:colOff>
      <xdr:row>11</xdr:row>
      <xdr:rowOff>171450</xdr:rowOff>
    </xdr:from>
    <xdr:to>
      <xdr:col>14</xdr:col>
      <xdr:colOff>571499</xdr:colOff>
      <xdr:row>21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9F8144E-F7BE-4EA8-A60D-0582B83980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220518</xdr:colOff>
      <xdr:row>0</xdr:row>
      <xdr:rowOff>76200</xdr:rowOff>
    </xdr:from>
    <xdr:to>
      <xdr:col>20</xdr:col>
      <xdr:colOff>525319</xdr:colOff>
      <xdr:row>14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182706</xdr:colOff>
      <xdr:row>15</xdr:row>
      <xdr:rowOff>143163</xdr:rowOff>
    </xdr:from>
    <xdr:to>
      <xdr:col>20</xdr:col>
      <xdr:colOff>484043</xdr:colOff>
      <xdr:row>30</xdr:row>
      <xdr:rowOff>28864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19</xdr:col>
      <xdr:colOff>111125</xdr:colOff>
      <xdr:row>17</xdr:row>
      <xdr:rowOff>139065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4450" y="184150"/>
          <a:ext cx="4987925" cy="30854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133519</xdr:colOff>
      <xdr:row>1</xdr:row>
      <xdr:rowOff>57150</xdr:rowOff>
    </xdr:from>
    <xdr:to>
      <xdr:col>31</xdr:col>
      <xdr:colOff>419269</xdr:colOff>
      <xdr:row>19</xdr:row>
      <xdr:rowOff>44903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5900B2-6E5D-4F96-A132-B90BD85464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218565</xdr:colOff>
      <xdr:row>22</xdr:row>
      <xdr:rowOff>65655</xdr:rowOff>
    </xdr:from>
    <xdr:to>
      <xdr:col>31</xdr:col>
      <xdr:colOff>504315</xdr:colOff>
      <xdr:row>40</xdr:row>
      <xdr:rowOff>53409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C99F2B-EE69-4B35-A65D-C01E3EF931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144575</xdr:colOff>
      <xdr:row>22</xdr:row>
      <xdr:rowOff>76540</xdr:rowOff>
    </xdr:from>
    <xdr:to>
      <xdr:col>39</xdr:col>
      <xdr:colOff>484754</xdr:colOff>
      <xdr:row>39</xdr:row>
      <xdr:rowOff>76540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CD2BD7C-CA24-4711-B4D1-45C8172F9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244078</xdr:colOff>
      <xdr:row>43</xdr:row>
      <xdr:rowOff>82664</xdr:rowOff>
    </xdr:from>
    <xdr:to>
      <xdr:col>22</xdr:col>
      <xdr:colOff>529828</xdr:colOff>
      <xdr:row>61</xdr:row>
      <xdr:rowOff>70417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4F4BE2C-A4E9-4191-B239-D2D3E39545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5"/>
  <sheetViews>
    <sheetView tabSelected="1" zoomScale="75" zoomScaleNormal="75" workbookViewId="0">
      <pane xSplit="1" ySplit="2" topLeftCell="T3" activePane="bottomRight" state="frozen"/>
      <selection pane="topRight" activeCell="B1" sqref="B1"/>
      <selection pane="bottomLeft" activeCell="A3" sqref="A3"/>
      <selection pane="bottomRight" activeCell="AF13" sqref="AF13"/>
    </sheetView>
  </sheetViews>
  <sheetFormatPr defaultColWidth="9.1796875" defaultRowHeight="12" x14ac:dyDescent="0.3"/>
  <cols>
    <col min="1" max="1" width="5.81640625" style="10" customWidth="1"/>
    <col min="2" max="2" width="9.1796875" style="10"/>
    <col min="3" max="3" width="13.7265625" style="10" customWidth="1"/>
    <col min="4" max="4" width="12.453125" style="10" customWidth="1"/>
    <col min="5" max="5" width="14" style="10" customWidth="1"/>
    <col min="6" max="6" width="18.1796875" style="10" customWidth="1"/>
    <col min="7" max="7" width="6.7265625" style="9" customWidth="1"/>
    <col min="8" max="9" width="9.1796875" style="10" customWidth="1"/>
    <col min="10" max="17" width="9.1796875" style="10"/>
    <col min="18" max="33" width="9.1796875" style="9"/>
    <col min="34" max="41" width="9.26953125" style="9" bestFit="1" customWidth="1"/>
    <col min="42" max="42" width="12.1796875" style="9" bestFit="1" customWidth="1"/>
    <col min="43" max="45" width="9.1796875" style="9"/>
    <col min="46" max="47" width="11.453125" style="9" bestFit="1" customWidth="1"/>
    <col min="48" max="48" width="10.6328125" style="9" bestFit="1" customWidth="1"/>
    <col min="49" max="50" width="11.453125" style="9" bestFit="1" customWidth="1"/>
    <col min="51" max="16384" width="9.1796875" style="9"/>
  </cols>
  <sheetData>
    <row r="1" spans="1:50" x14ac:dyDescent="0.3">
      <c r="A1" s="14" t="s">
        <v>74</v>
      </c>
      <c r="B1" s="14"/>
      <c r="C1" s="14"/>
      <c r="D1" s="14"/>
      <c r="E1" s="14"/>
      <c r="F1" s="14"/>
      <c r="G1" s="13" t="s">
        <v>76</v>
      </c>
      <c r="H1" s="14" t="s">
        <v>1</v>
      </c>
      <c r="I1" s="14" t="s">
        <v>65</v>
      </c>
      <c r="J1" s="14" t="s">
        <v>66</v>
      </c>
      <c r="K1" s="14" t="s">
        <v>67</v>
      </c>
      <c r="L1" s="14" t="s">
        <v>68</v>
      </c>
      <c r="M1" s="14" t="s">
        <v>70</v>
      </c>
      <c r="N1" s="14" t="s">
        <v>72</v>
      </c>
      <c r="O1" s="14" t="s">
        <v>73</v>
      </c>
      <c r="P1" s="14" t="s">
        <v>71</v>
      </c>
      <c r="Q1" s="14"/>
      <c r="S1" s="13" t="s">
        <v>74</v>
      </c>
      <c r="T1" s="14" t="s">
        <v>1</v>
      </c>
      <c r="U1" s="14" t="s">
        <v>65</v>
      </c>
      <c r="V1" s="14" t="s">
        <v>66</v>
      </c>
      <c r="W1" s="14" t="s">
        <v>67</v>
      </c>
      <c r="X1" s="14" t="s">
        <v>68</v>
      </c>
      <c r="Y1" s="14" t="s">
        <v>70</v>
      </c>
      <c r="Z1" s="14" t="s">
        <v>72</v>
      </c>
      <c r="AA1" s="14" t="s">
        <v>73</v>
      </c>
      <c r="AB1" s="14" t="s">
        <v>71</v>
      </c>
      <c r="AC1" s="14" t="s">
        <v>150</v>
      </c>
      <c r="AD1" s="14" t="s">
        <v>149</v>
      </c>
      <c r="AE1" s="14"/>
      <c r="AG1" s="20" t="s">
        <v>146</v>
      </c>
      <c r="AH1" s="14" t="s">
        <v>1</v>
      </c>
      <c r="AI1" s="14" t="s">
        <v>65</v>
      </c>
      <c r="AJ1" s="14" t="s">
        <v>66</v>
      </c>
      <c r="AK1" s="14" t="s">
        <v>67</v>
      </c>
      <c r="AL1" s="14" t="s">
        <v>68</v>
      </c>
      <c r="AM1" s="14" t="s">
        <v>70</v>
      </c>
      <c r="AN1" s="14" t="s">
        <v>72</v>
      </c>
      <c r="AO1" s="14" t="s">
        <v>73</v>
      </c>
      <c r="AP1" s="14" t="s">
        <v>71</v>
      </c>
    </row>
    <row r="2" spans="1:50" ht="13" x14ac:dyDescent="0.35">
      <c r="A2" s="14"/>
      <c r="B2" s="26" t="s">
        <v>134</v>
      </c>
      <c r="C2" s="26" t="s">
        <v>135</v>
      </c>
      <c r="D2" s="27" t="s">
        <v>129</v>
      </c>
      <c r="E2" s="27" t="s">
        <v>136</v>
      </c>
      <c r="F2" s="27" t="s">
        <v>137</v>
      </c>
      <c r="G2" s="14" t="s">
        <v>77</v>
      </c>
      <c r="H2" s="14" t="s">
        <v>138</v>
      </c>
      <c r="I2" s="14" t="s">
        <v>138</v>
      </c>
      <c r="J2" s="14" t="s">
        <v>138</v>
      </c>
      <c r="K2" s="14" t="s">
        <v>138</v>
      </c>
      <c r="L2" s="14" t="s">
        <v>138</v>
      </c>
      <c r="M2" s="14" t="s">
        <v>138</v>
      </c>
      <c r="N2" s="14" t="s">
        <v>138</v>
      </c>
      <c r="O2" s="14" t="s">
        <v>138</v>
      </c>
      <c r="P2" s="14" t="s">
        <v>138</v>
      </c>
      <c r="Q2" s="14"/>
      <c r="S2" s="13"/>
      <c r="T2" s="14" t="s">
        <v>139</v>
      </c>
      <c r="U2" s="14" t="s">
        <v>139</v>
      </c>
      <c r="V2" s="14" t="s">
        <v>139</v>
      </c>
      <c r="W2" s="14" t="s">
        <v>139</v>
      </c>
      <c r="X2" s="14" t="s">
        <v>139</v>
      </c>
      <c r="Y2" s="14" t="s">
        <v>139</v>
      </c>
      <c r="Z2" s="14" t="s">
        <v>139</v>
      </c>
      <c r="AA2" s="14" t="s">
        <v>139</v>
      </c>
      <c r="AB2" s="14" t="s">
        <v>139</v>
      </c>
      <c r="AC2" s="14" t="s">
        <v>147</v>
      </c>
      <c r="AD2" s="14" t="s">
        <v>148</v>
      </c>
      <c r="AE2" s="14"/>
      <c r="AG2" s="13" t="s">
        <v>145</v>
      </c>
      <c r="AH2" s="14">
        <v>1</v>
      </c>
      <c r="AI2" s="21">
        <v>1.4137931034482758E-3</v>
      </c>
      <c r="AJ2" s="21">
        <v>1E-3</v>
      </c>
      <c r="AK2" s="21">
        <v>1.6551724137931034E-3</v>
      </c>
      <c r="AL2" s="21">
        <v>4.8275862068965512E-4</v>
      </c>
      <c r="AM2" s="21">
        <v>1.2413793103448274E-3</v>
      </c>
      <c r="AN2" s="21">
        <v>1.7241379310344827E-2</v>
      </c>
      <c r="AO2" s="21">
        <v>1.7241379310344829E-4</v>
      </c>
      <c r="AP2" s="21">
        <v>3.1034482758620687E-6</v>
      </c>
    </row>
    <row r="3" spans="1:50" ht="14.5" x14ac:dyDescent="0.35">
      <c r="A3" s="14">
        <v>1</v>
      </c>
      <c r="B3" s="16">
        <v>101</v>
      </c>
      <c r="C3" s="16">
        <v>97</v>
      </c>
      <c r="D3" s="16">
        <v>13.4457</v>
      </c>
      <c r="E3" s="16">
        <f>B3/D3</f>
        <v>7.5116951887964181</v>
      </c>
      <c r="F3" s="16">
        <f>C3/D3</f>
        <v>7.2142023100322037</v>
      </c>
      <c r="G3" s="10">
        <v>0.42330000000000001</v>
      </c>
      <c r="H3" s="11">
        <v>78.991869918699194</v>
      </c>
      <c r="I3" s="11">
        <v>1.3385416666666667</v>
      </c>
      <c r="J3" s="11">
        <v>0.73797468354430384</v>
      </c>
      <c r="K3" s="11">
        <v>0.29305912596401029</v>
      </c>
      <c r="L3" s="11">
        <v>0.40784313725490196</v>
      </c>
      <c r="M3" s="11">
        <v>0.80839567747298424</v>
      </c>
      <c r="N3" s="11">
        <v>3.1349057781105696</v>
      </c>
      <c r="O3" s="11">
        <v>1.1660593440916189</v>
      </c>
      <c r="P3" s="12">
        <v>6.9469184182401139E-2</v>
      </c>
      <c r="Q3" s="12"/>
      <c r="S3" s="13">
        <v>1</v>
      </c>
      <c r="T3" s="18">
        <f t="shared" ref="T3:T46" si="0">(H3*50)/$G3</f>
        <v>9330.4830993029991</v>
      </c>
      <c r="U3" s="18">
        <f t="shared" ref="U3:U46" si="1">(I3*50)/$G3</f>
        <v>158.1079218836129</v>
      </c>
      <c r="V3" s="18">
        <f t="shared" ref="V3:V46" si="2">(J3*50)/$G3</f>
        <v>87.169227916879734</v>
      </c>
      <c r="W3" s="18">
        <f t="shared" ref="W3:W46" si="3">(K3*50)/$G3</f>
        <v>34.616008264116502</v>
      </c>
      <c r="X3" s="18">
        <f t="shared" ref="X3:X46" si="4">(L3*50)/$G3</f>
        <v>48.174242529518303</v>
      </c>
      <c r="Y3" s="18">
        <f t="shared" ref="Y3:Y46" si="5">(M3*50)/$G3</f>
        <v>95.487323112802287</v>
      </c>
      <c r="Z3" s="18">
        <f t="shared" ref="Z3:Z46" si="6">(N3*50)/$G3</f>
        <v>370.29361895943413</v>
      </c>
      <c r="AA3" s="18">
        <f t="shared" ref="AA3:AA46" si="7">(O3*50)/$G3</f>
        <v>137.73438980529397</v>
      </c>
      <c r="AB3" s="18">
        <f t="shared" ref="AB3:AB46" si="8">(P3*50)/$G3</f>
        <v>8.2056678694071739</v>
      </c>
      <c r="AC3" s="18">
        <v>7.5116951887964181</v>
      </c>
      <c r="AD3" s="18">
        <v>7.2142023100322037</v>
      </c>
      <c r="AE3" s="18"/>
      <c r="AH3" s="22">
        <f t="shared" ref="AH3:AP3" si="9">(T3/$T3)/AH$2</f>
        <v>1</v>
      </c>
      <c r="AI3" s="22">
        <f t="shared" si="9"/>
        <v>11.985706566488268</v>
      </c>
      <c r="AJ3" s="22">
        <f t="shared" si="9"/>
        <v>9.3424131407934716</v>
      </c>
      <c r="AK3" s="22">
        <f t="shared" si="9"/>
        <v>2.2414528919514733</v>
      </c>
      <c r="AL3" s="22">
        <f t="shared" si="9"/>
        <v>10.694998460479294</v>
      </c>
      <c r="AM3" s="22">
        <f t="shared" si="9"/>
        <v>8.2439829535077731</v>
      </c>
      <c r="AN3" s="22">
        <f t="shared" si="9"/>
        <v>2.3018132792343353</v>
      </c>
      <c r="AO3" s="22">
        <f t="shared" si="9"/>
        <v>85.618231378649725</v>
      </c>
      <c r="AP3" s="22">
        <f t="shared" si="9"/>
        <v>283.37745297404609</v>
      </c>
    </row>
    <row r="4" spans="1:50" ht="14.5" x14ac:dyDescent="0.35">
      <c r="A4" s="14">
        <v>2</v>
      </c>
      <c r="B4" s="16">
        <v>366</v>
      </c>
      <c r="C4" s="16">
        <v>363</v>
      </c>
      <c r="D4" s="16">
        <v>14.330500000000001</v>
      </c>
      <c r="E4" s="16">
        <f t="shared" ref="E4:E46" si="10">B4/D4</f>
        <v>25.539932312201248</v>
      </c>
      <c r="F4" s="16">
        <f t="shared" ref="F4:F46" si="11">C4/D4</f>
        <v>25.330588604724188</v>
      </c>
      <c r="G4" s="10">
        <v>0.42559999999999998</v>
      </c>
      <c r="H4" s="11">
        <v>117.98373983739836</v>
      </c>
      <c r="I4" s="11">
        <v>1.2725694444444444</v>
      </c>
      <c r="J4" s="11">
        <v>1.2227848101265824</v>
      </c>
      <c r="K4" s="11">
        <v>0.31362467866323906</v>
      </c>
      <c r="L4" s="11">
        <v>0.36601307189542481</v>
      </c>
      <c r="M4" s="11">
        <v>0.69201995012468831</v>
      </c>
      <c r="N4" s="11">
        <v>3.9011606140022459</v>
      </c>
      <c r="O4" s="11">
        <v>1.3430504945340966</v>
      </c>
      <c r="P4" s="12">
        <v>9.5475596722479517E-2</v>
      </c>
      <c r="Q4" s="12"/>
      <c r="S4" s="13">
        <v>2</v>
      </c>
      <c r="T4" s="18">
        <f t="shared" si="0"/>
        <v>13860.871691423679</v>
      </c>
      <c r="U4" s="18">
        <f t="shared" si="1"/>
        <v>149.5029892439432</v>
      </c>
      <c r="V4" s="18">
        <f t="shared" si="2"/>
        <v>143.65423051299135</v>
      </c>
      <c r="W4" s="18">
        <f t="shared" si="3"/>
        <v>36.845004542203839</v>
      </c>
      <c r="X4" s="18">
        <f t="shared" si="4"/>
        <v>42.999656002751976</v>
      </c>
      <c r="Y4" s="18">
        <f t="shared" si="5"/>
        <v>81.299336245851535</v>
      </c>
      <c r="Z4" s="18">
        <f t="shared" si="6"/>
        <v>458.31304205853451</v>
      </c>
      <c r="AA4" s="18">
        <f t="shared" si="7"/>
        <v>157.78318779770871</v>
      </c>
      <c r="AB4" s="18">
        <f t="shared" si="8"/>
        <v>11.216587960817613</v>
      </c>
      <c r="AC4" s="18">
        <v>25.539932312201248</v>
      </c>
      <c r="AD4" s="18">
        <v>25.330588604724188</v>
      </c>
      <c r="AE4" s="18"/>
      <c r="AH4" s="22">
        <f t="shared" ref="AH4:AH18" si="12">(T4/$T4)/AH$2</f>
        <v>1</v>
      </c>
      <c r="AI4" s="22">
        <f t="shared" ref="AI4:AI18" si="13">(U4/$T4)/AI$2</f>
        <v>7.6291029263138572</v>
      </c>
      <c r="AJ4" s="22">
        <f t="shared" ref="AJ4:AJ18" si="14">(V4/$T4)/AJ$2</f>
        <v>10.364011276569022</v>
      </c>
      <c r="AK4" s="22">
        <f t="shared" ref="AK4:AK46" si="15">(W4/$T4)/AK$2</f>
        <v>1.6059973768716895</v>
      </c>
      <c r="AL4" s="22">
        <f t="shared" ref="AL4:AL18" si="16">(X4/$T4)/AL$2</f>
        <v>6.4260544350044322</v>
      </c>
      <c r="AM4" s="22">
        <f t="shared" ref="AM4:AM18" si="17">(Y4/$T4)/AM$2</f>
        <v>4.7248927364609434</v>
      </c>
      <c r="AN4" s="22">
        <f t="shared" ref="AN4:AN18" si="18">(Z4/$T4)/AN$2</f>
        <v>1.9177838905934417</v>
      </c>
      <c r="AO4" s="22">
        <f t="shared" ref="AO4:AO18" si="19">(AA4/$T4)/AO$2</f>
        <v>66.023444239293312</v>
      </c>
      <c r="AP4" s="22">
        <f t="shared" ref="AP4:AP17" si="20">(AB4/$T4)/AP$2</f>
        <v>260.7508372451033</v>
      </c>
      <c r="AS4" s="10"/>
      <c r="AT4" s="10" t="s">
        <v>140</v>
      </c>
      <c r="AU4" s="10" t="s">
        <v>141</v>
      </c>
      <c r="AV4" s="10" t="s">
        <v>142</v>
      </c>
      <c r="AW4" s="10" t="s">
        <v>143</v>
      </c>
      <c r="AX4" s="10" t="s">
        <v>144</v>
      </c>
    </row>
    <row r="5" spans="1:50" ht="14.5" x14ac:dyDescent="0.35">
      <c r="A5" s="14">
        <v>3</v>
      </c>
      <c r="B5" s="16">
        <v>82</v>
      </c>
      <c r="C5" s="16">
        <v>77</v>
      </c>
      <c r="D5" s="16">
        <v>13.5145</v>
      </c>
      <c r="E5" s="16">
        <f t="shared" si="10"/>
        <v>6.0675570683340112</v>
      </c>
      <c r="F5" s="16">
        <f t="shared" si="11"/>
        <v>5.6975840763624257</v>
      </c>
      <c r="G5" s="10">
        <v>0.4017</v>
      </c>
      <c r="H5" s="11">
        <v>101.1219512195122</v>
      </c>
      <c r="I5" s="11">
        <v>0.7885416666666667</v>
      </c>
      <c r="J5" s="11">
        <v>0.40632911392405069</v>
      </c>
      <c r="K5" s="11">
        <v>0.34961439588688947</v>
      </c>
      <c r="L5" s="11">
        <v>0.30326797385620913</v>
      </c>
      <c r="M5" s="11">
        <v>0.53823773898586857</v>
      </c>
      <c r="N5" s="11">
        <v>3.7052290028703352</v>
      </c>
      <c r="O5" s="11">
        <v>0.75481520041644978</v>
      </c>
      <c r="P5" s="12">
        <v>9.5475596722479517E-2</v>
      </c>
      <c r="Q5" s="12"/>
      <c r="S5" s="13">
        <v>3</v>
      </c>
      <c r="T5" s="18">
        <f t="shared" si="0"/>
        <v>12586.7502140294</v>
      </c>
      <c r="U5" s="18">
        <f t="shared" si="1"/>
        <v>98.150568417558716</v>
      </c>
      <c r="V5" s="18">
        <f t="shared" si="2"/>
        <v>50.576190431173849</v>
      </c>
      <c r="W5" s="18">
        <f t="shared" si="3"/>
        <v>43.51685286120108</v>
      </c>
      <c r="X5" s="18">
        <f t="shared" si="4"/>
        <v>37.748067445383263</v>
      </c>
      <c r="Y5" s="18">
        <f t="shared" si="5"/>
        <v>66.994988671380199</v>
      </c>
      <c r="Z5" s="18">
        <f t="shared" si="6"/>
        <v>461.19355275956372</v>
      </c>
      <c r="AA5" s="18">
        <f t="shared" si="7"/>
        <v>93.952601495699511</v>
      </c>
      <c r="AB5" s="18">
        <f t="shared" si="8"/>
        <v>11.883942833268547</v>
      </c>
      <c r="AC5" s="18">
        <v>6.0675570683340112</v>
      </c>
      <c r="AD5" s="18">
        <v>5.6975840763624257</v>
      </c>
      <c r="AE5" s="18"/>
      <c r="AH5" s="22">
        <f t="shared" si="12"/>
        <v>1</v>
      </c>
      <c r="AI5" s="22">
        <f t="shared" si="13"/>
        <v>5.5156074127673262</v>
      </c>
      <c r="AJ5" s="22">
        <f t="shared" si="14"/>
        <v>4.0182087966440134</v>
      </c>
      <c r="AK5" s="22">
        <f t="shared" si="15"/>
        <v>2.08881812142985</v>
      </c>
      <c r="AL5" s="22">
        <f t="shared" si="16"/>
        <v>6.2122806993837889</v>
      </c>
      <c r="AM5" s="22">
        <f t="shared" si="17"/>
        <v>4.287698127071593</v>
      </c>
      <c r="AN5" s="22">
        <f t="shared" si="18"/>
        <v>2.1251892351243744</v>
      </c>
      <c r="AO5" s="22">
        <f t="shared" si="19"/>
        <v>43.293549121811807</v>
      </c>
      <c r="AP5" s="22">
        <f t="shared" si="20"/>
        <v>304.23027416794804</v>
      </c>
      <c r="AS5" s="10" t="s">
        <v>1</v>
      </c>
      <c r="AT5" s="18">
        <v>1</v>
      </c>
      <c r="AU5" s="18">
        <v>0</v>
      </c>
      <c r="AV5" s="18">
        <v>1</v>
      </c>
      <c r="AW5" s="18">
        <v>1</v>
      </c>
      <c r="AX5" s="18">
        <v>1</v>
      </c>
    </row>
    <row r="6" spans="1:50" ht="14.5" x14ac:dyDescent="0.35">
      <c r="A6" s="14">
        <v>4</v>
      </c>
      <c r="B6" s="16">
        <v>161</v>
      </c>
      <c r="C6" s="16">
        <v>158</v>
      </c>
      <c r="D6" s="16">
        <v>14.2075</v>
      </c>
      <c r="E6" s="16">
        <f t="shared" si="10"/>
        <v>11.332042935069506</v>
      </c>
      <c r="F6" s="16">
        <f t="shared" si="11"/>
        <v>11.120886855534049</v>
      </c>
      <c r="G6" s="10">
        <v>0.4017</v>
      </c>
      <c r="H6" s="11">
        <v>55.382113821138212</v>
      </c>
      <c r="I6" s="11">
        <v>1.1260416666666666</v>
      </c>
      <c r="J6" s="11">
        <v>0.85443037974683544</v>
      </c>
      <c r="K6" s="11">
        <v>0.21593830334190231</v>
      </c>
      <c r="L6" s="11">
        <v>0.24052287581699347</v>
      </c>
      <c r="M6" s="11">
        <v>0.50706566916043216</v>
      </c>
      <c r="N6" s="11">
        <v>2.4722326219892672</v>
      </c>
      <c r="O6" s="11">
        <v>0.66631962519521082</v>
      </c>
      <c r="P6" s="12">
        <v>0.16387602422515143</v>
      </c>
      <c r="Q6" s="12"/>
      <c r="S6" s="13">
        <v>4</v>
      </c>
      <c r="T6" s="18">
        <f t="shared" si="0"/>
        <v>6893.4669929223564</v>
      </c>
      <c r="U6" s="18">
        <f t="shared" si="1"/>
        <v>140.15953032943324</v>
      </c>
      <c r="V6" s="18">
        <f t="shared" si="2"/>
        <v>106.35180230854313</v>
      </c>
      <c r="W6" s="18">
        <f t="shared" si="3"/>
        <v>26.878056178977133</v>
      </c>
      <c r="X6" s="18">
        <f t="shared" si="4"/>
        <v>29.938122456683278</v>
      </c>
      <c r="Y6" s="18">
        <f t="shared" si="5"/>
        <v>63.114970022458571</v>
      </c>
      <c r="Z6" s="18">
        <f t="shared" si="6"/>
        <v>307.72126238352837</v>
      </c>
      <c r="AA6" s="18">
        <f t="shared" si="7"/>
        <v>82.937468906548517</v>
      </c>
      <c r="AB6" s="18">
        <f t="shared" si="8"/>
        <v>20.397812325759453</v>
      </c>
      <c r="AC6" s="18">
        <v>11.332042935069506</v>
      </c>
      <c r="AD6" s="18">
        <v>11.120886855534049</v>
      </c>
      <c r="AE6" s="18"/>
      <c r="AH6" s="22">
        <f t="shared" si="12"/>
        <v>1</v>
      </c>
      <c r="AI6" s="22">
        <f t="shared" si="13"/>
        <v>14.381330739870817</v>
      </c>
      <c r="AJ6" s="22">
        <f t="shared" si="14"/>
        <v>15.427912024201522</v>
      </c>
      <c r="AK6" s="22">
        <f t="shared" si="15"/>
        <v>2.3556833774361587</v>
      </c>
      <c r="AL6" s="22">
        <f t="shared" si="16"/>
        <v>8.9961527770239051</v>
      </c>
      <c r="AM6" s="22">
        <f t="shared" si="17"/>
        <v>7.3754780856301849</v>
      </c>
      <c r="AN6" s="22">
        <f t="shared" si="18"/>
        <v>2.5890938821596348</v>
      </c>
      <c r="AO6" s="22">
        <f t="shared" si="19"/>
        <v>69.781623695575945</v>
      </c>
      <c r="AP6" s="22">
        <f t="shared" si="20"/>
        <v>953.45758858732188</v>
      </c>
      <c r="AS6" s="10" t="s">
        <v>67</v>
      </c>
      <c r="AT6" s="18">
        <v>2.2009732592788041</v>
      </c>
      <c r="AU6" s="18">
        <v>1.0417365005325094</v>
      </c>
      <c r="AV6" s="18">
        <v>1.4114247917384433</v>
      </c>
      <c r="AW6" s="18">
        <v>6.6991808093615139</v>
      </c>
      <c r="AX6" s="18">
        <v>1.9121128198945383</v>
      </c>
    </row>
    <row r="7" spans="1:50" ht="14.5" x14ac:dyDescent="0.35">
      <c r="A7" s="14">
        <v>5</v>
      </c>
      <c r="B7" s="16">
        <v>317</v>
      </c>
      <c r="C7" s="16">
        <v>310</v>
      </c>
      <c r="D7" s="16">
        <v>14.716900000000001</v>
      </c>
      <c r="E7" s="16">
        <f t="shared" si="10"/>
        <v>21.539862335138512</v>
      </c>
      <c r="F7" s="16">
        <f t="shared" si="11"/>
        <v>21.064218687359428</v>
      </c>
      <c r="G7" s="10">
        <v>0.40799999999999997</v>
      </c>
      <c r="H7" s="11">
        <v>127.70731707317073</v>
      </c>
      <c r="I7" s="11">
        <v>1.1784722222222221</v>
      </c>
      <c r="J7" s="11">
        <v>0.74050632911392411</v>
      </c>
      <c r="K7" s="11">
        <v>0.37275064267352187</v>
      </c>
      <c r="L7" s="11">
        <v>0.44183006535947711</v>
      </c>
      <c r="M7" s="11">
        <v>0.70864505403158773</v>
      </c>
      <c r="N7" s="11">
        <v>4.2094097092225127</v>
      </c>
      <c r="O7" s="11">
        <v>1.2701717855283707</v>
      </c>
      <c r="P7" s="12">
        <v>5.6287851799073751E-2</v>
      </c>
      <c r="Q7" s="12"/>
      <c r="S7" s="13">
        <v>5</v>
      </c>
      <c r="T7" s="18">
        <f t="shared" si="0"/>
        <v>15650.40650406504</v>
      </c>
      <c r="U7" s="18">
        <f t="shared" si="1"/>
        <v>144.42061546840958</v>
      </c>
      <c r="V7" s="18">
        <f t="shared" si="2"/>
        <v>90.748324646314231</v>
      </c>
      <c r="W7" s="18">
        <f t="shared" si="3"/>
        <v>45.680225817833566</v>
      </c>
      <c r="X7" s="18">
        <f t="shared" si="4"/>
        <v>54.14584134307318</v>
      </c>
      <c r="Y7" s="18">
        <f t="shared" si="5"/>
        <v>86.843756621518111</v>
      </c>
      <c r="Z7" s="18">
        <f t="shared" si="6"/>
        <v>515.85903299295501</v>
      </c>
      <c r="AA7" s="18">
        <f t="shared" si="7"/>
        <v>155.65830705004544</v>
      </c>
      <c r="AB7" s="18">
        <f t="shared" si="8"/>
        <v>6.8980210538080575</v>
      </c>
      <c r="AC7" s="18">
        <v>21.539862335138512</v>
      </c>
      <c r="AD7" s="18">
        <v>21.064218687359428</v>
      </c>
      <c r="AE7" s="18"/>
      <c r="AH7" s="22">
        <f t="shared" si="12"/>
        <v>1</v>
      </c>
      <c r="AI7" s="22">
        <f t="shared" si="13"/>
        <v>6.5270615822086411</v>
      </c>
      <c r="AJ7" s="22">
        <f t="shared" si="14"/>
        <v>5.7984643799982596</v>
      </c>
      <c r="AK7" s="22">
        <f t="shared" si="15"/>
        <v>1.7634346914741594</v>
      </c>
      <c r="AL7" s="22">
        <f t="shared" si="16"/>
        <v>7.166538629712135</v>
      </c>
      <c r="AM7" s="22">
        <f t="shared" si="17"/>
        <v>4.4700098105188326</v>
      </c>
      <c r="AN7" s="22">
        <f t="shared" si="18"/>
        <v>1.9117601773359696</v>
      </c>
      <c r="AO7" s="22">
        <f t="shared" si="19"/>
        <v>57.686564285455795</v>
      </c>
      <c r="AP7" s="22">
        <f t="shared" si="20"/>
        <v>142.02159364463691</v>
      </c>
      <c r="AS7" s="10" t="s">
        <v>72</v>
      </c>
      <c r="AT7" s="18">
        <v>2.4881675648080548</v>
      </c>
      <c r="AU7" s="18">
        <v>1.5230603386289401</v>
      </c>
      <c r="AV7" s="18">
        <v>1.4704536185399755</v>
      </c>
      <c r="AW7" s="18">
        <v>11.878881014386863</v>
      </c>
      <c r="AX7" s="18">
        <v>2.1818147302037247</v>
      </c>
    </row>
    <row r="8" spans="1:50" ht="14.5" x14ac:dyDescent="0.35">
      <c r="A8" s="14">
        <v>6</v>
      </c>
      <c r="B8" s="16">
        <v>146</v>
      </c>
      <c r="C8" s="16">
        <v>143</v>
      </c>
      <c r="D8" s="16">
        <v>14.712199999999999</v>
      </c>
      <c r="E8" s="16">
        <f t="shared" si="10"/>
        <v>9.923736762686751</v>
      </c>
      <c r="F8" s="16">
        <f t="shared" si="11"/>
        <v>9.7198243634534602</v>
      </c>
      <c r="G8" s="10">
        <v>0.43780000000000002</v>
      </c>
      <c r="H8" s="11">
        <v>68.715447154471548</v>
      </c>
      <c r="I8" s="11">
        <v>1.3791666666666667</v>
      </c>
      <c r="J8" s="11">
        <v>0.89873417721519</v>
      </c>
      <c r="K8" s="11">
        <v>0.2879177377892031</v>
      </c>
      <c r="L8" s="11">
        <v>0.2849673202614379</v>
      </c>
      <c r="M8" s="11">
        <v>0.49875311720698251</v>
      </c>
      <c r="N8" s="11">
        <v>2.1315362535879196</v>
      </c>
      <c r="O8" s="11">
        <v>1.1348256116605933</v>
      </c>
      <c r="P8" s="12">
        <v>5.9850374064837904E-2</v>
      </c>
      <c r="Q8" s="12"/>
      <c r="S8" s="13">
        <v>6</v>
      </c>
      <c r="T8" s="18">
        <f t="shared" si="0"/>
        <v>7847.8126032973441</v>
      </c>
      <c r="U8" s="18">
        <f t="shared" si="1"/>
        <v>157.51104004872846</v>
      </c>
      <c r="V8" s="18">
        <f t="shared" si="2"/>
        <v>102.64209424568182</v>
      </c>
      <c r="W8" s="18">
        <f t="shared" si="3"/>
        <v>32.882336430927715</v>
      </c>
      <c r="X8" s="18">
        <f t="shared" si="4"/>
        <v>32.545376914280254</v>
      </c>
      <c r="Y8" s="18">
        <f t="shared" si="5"/>
        <v>56.961297077087991</v>
      </c>
      <c r="Z8" s="18">
        <f t="shared" si="6"/>
        <v>243.43721489126537</v>
      </c>
      <c r="AA8" s="18">
        <f t="shared" si="7"/>
        <v>129.60548328695674</v>
      </c>
      <c r="AB8" s="18">
        <f t="shared" si="8"/>
        <v>6.8353556492505598</v>
      </c>
      <c r="AC8" s="18">
        <v>9.923736762686751</v>
      </c>
      <c r="AD8" s="18">
        <v>9.7198243634534602</v>
      </c>
      <c r="AE8" s="18"/>
      <c r="AH8" s="22">
        <f t="shared" si="12"/>
        <v>1</v>
      </c>
      <c r="AI8" s="22">
        <f t="shared" si="13"/>
        <v>14.196344060577378</v>
      </c>
      <c r="AJ8" s="22">
        <f t="shared" si="14"/>
        <v>13.079070491891667</v>
      </c>
      <c r="AK8" s="22">
        <f t="shared" si="15"/>
        <v>2.5314584582891801</v>
      </c>
      <c r="AL8" s="22">
        <f t="shared" si="16"/>
        <v>8.59034574549176</v>
      </c>
      <c r="AM8" s="22">
        <f t="shared" si="17"/>
        <v>5.8469145010954238</v>
      </c>
      <c r="AN8" s="22">
        <f t="shared" si="18"/>
        <v>1.799145720905847</v>
      </c>
      <c r="AO8" s="22">
        <f t="shared" si="19"/>
        <v>95.786156100173585</v>
      </c>
      <c r="AP8" s="22">
        <f t="shared" si="20"/>
        <v>280.6518960525803</v>
      </c>
      <c r="AS8" s="10" t="s">
        <v>70</v>
      </c>
      <c r="AT8" s="18">
        <v>5.3382422753539913</v>
      </c>
      <c r="AU8" s="18">
        <v>2.3421713329484199</v>
      </c>
      <c r="AV8" s="18">
        <v>2.7242234714854714</v>
      </c>
      <c r="AW8" s="18">
        <v>16.21418721307354</v>
      </c>
      <c r="AX8" s="18">
        <v>5.2149754151543171</v>
      </c>
    </row>
    <row r="9" spans="1:50" ht="14.5" x14ac:dyDescent="0.35">
      <c r="A9" s="14">
        <v>7</v>
      </c>
      <c r="B9" s="16">
        <v>174</v>
      </c>
      <c r="C9" s="16">
        <v>171</v>
      </c>
      <c r="D9" s="16">
        <v>14.2171</v>
      </c>
      <c r="E9" s="16">
        <f t="shared" si="10"/>
        <v>12.238782874144515</v>
      </c>
      <c r="F9" s="16">
        <f t="shared" si="11"/>
        <v>12.027769376314438</v>
      </c>
      <c r="G9" s="10">
        <v>0.36969999999999997</v>
      </c>
      <c r="H9" s="11">
        <v>70.861788617886177</v>
      </c>
      <c r="I9" s="11">
        <v>2.1038194444444445</v>
      </c>
      <c r="J9" s="11">
        <v>0.5075949367088608</v>
      </c>
      <c r="K9" s="11">
        <v>0.21079691516709514</v>
      </c>
      <c r="L9" s="11">
        <v>0.31111111111111112</v>
      </c>
      <c r="M9" s="11">
        <v>0.50706566916043216</v>
      </c>
      <c r="N9" s="11">
        <v>2.3848745788094345</v>
      </c>
      <c r="O9" s="11">
        <v>1.140031233732431</v>
      </c>
      <c r="P9" s="12">
        <v>7.588172426077662E-2</v>
      </c>
      <c r="Q9" s="12"/>
      <c r="S9" s="13">
        <v>7</v>
      </c>
      <c r="T9" s="18">
        <f t="shared" si="0"/>
        <v>9583.6879385834709</v>
      </c>
      <c r="U9" s="18">
        <f t="shared" si="1"/>
        <v>284.53062543203202</v>
      </c>
      <c r="V9" s="18">
        <f t="shared" si="2"/>
        <v>68.649572181344453</v>
      </c>
      <c r="W9" s="18">
        <f t="shared" si="3"/>
        <v>28.509185172720468</v>
      </c>
      <c r="X9" s="18">
        <f t="shared" si="4"/>
        <v>42.07615784570072</v>
      </c>
      <c r="Y9" s="18">
        <f t="shared" si="5"/>
        <v>68.577991501275648</v>
      </c>
      <c r="Z9" s="18">
        <f t="shared" si="6"/>
        <v>322.54186892202256</v>
      </c>
      <c r="AA9" s="18">
        <f t="shared" si="7"/>
        <v>154.18328830571153</v>
      </c>
      <c r="AB9" s="18">
        <f t="shared" si="8"/>
        <v>10.262608095858349</v>
      </c>
      <c r="AC9" s="18">
        <v>12.238782874144515</v>
      </c>
      <c r="AD9" s="18">
        <v>12.027769376314438</v>
      </c>
      <c r="AE9" s="18"/>
      <c r="AH9" s="22">
        <f t="shared" si="12"/>
        <v>1</v>
      </c>
      <c r="AI9" s="22">
        <f t="shared" si="13"/>
        <v>20.999574537249508</v>
      </c>
      <c r="AJ9" s="22">
        <f t="shared" si="14"/>
        <v>7.1631685653040247</v>
      </c>
      <c r="AK9" s="22">
        <f t="shared" si="15"/>
        <v>1.7972516932485954</v>
      </c>
      <c r="AL9" s="22">
        <f t="shared" si="16"/>
        <v>9.0943858038855758</v>
      </c>
      <c r="AM9" s="22">
        <f t="shared" si="17"/>
        <v>5.7643135290629672</v>
      </c>
      <c r="AN9" s="22">
        <f t="shared" si="18"/>
        <v>1.9520072562214901</v>
      </c>
      <c r="AO9" s="22">
        <f t="shared" si="19"/>
        <v>93.310954812381382</v>
      </c>
      <c r="AP9" s="22">
        <f t="shared" si="20"/>
        <v>345.0488379457833</v>
      </c>
      <c r="AS9" s="10" t="s">
        <v>66</v>
      </c>
      <c r="AT9" s="18">
        <v>5.6010942799880903</v>
      </c>
      <c r="AU9" s="18">
        <v>3.8310389330955923</v>
      </c>
      <c r="AV9" s="18">
        <v>1.2067956036682765</v>
      </c>
      <c r="AW9" s="18">
        <v>19.204817933418838</v>
      </c>
      <c r="AX9" s="18">
        <v>4.7633161331383533</v>
      </c>
    </row>
    <row r="10" spans="1:50" ht="14.5" x14ac:dyDescent="0.35">
      <c r="A10" s="14">
        <v>8</v>
      </c>
      <c r="B10" s="16">
        <v>276</v>
      </c>
      <c r="C10" s="16">
        <v>270</v>
      </c>
      <c r="D10" s="16">
        <v>15.298999999999999</v>
      </c>
      <c r="E10" s="16">
        <f t="shared" si="10"/>
        <v>18.040394797045558</v>
      </c>
      <c r="F10" s="16">
        <f t="shared" si="11"/>
        <v>17.648212301457612</v>
      </c>
      <c r="G10" s="10">
        <v>0.37069999999999997</v>
      </c>
      <c r="H10" s="11">
        <v>105.73983739837398</v>
      </c>
      <c r="I10" s="11">
        <v>1.3784722222222223</v>
      </c>
      <c r="J10" s="11">
        <v>0.73797468354430384</v>
      </c>
      <c r="K10" s="11">
        <v>0.31619537275064269</v>
      </c>
      <c r="L10" s="11">
        <v>0.37647058823529411</v>
      </c>
      <c r="M10" s="11">
        <v>0.67123857024106404</v>
      </c>
      <c r="N10" s="11">
        <v>3.4656183701485084</v>
      </c>
      <c r="O10" s="11">
        <v>1.9208745445080684</v>
      </c>
      <c r="P10" s="12">
        <v>4.9162807267545419E-2</v>
      </c>
      <c r="Q10" s="12"/>
      <c r="S10" s="13">
        <v>8</v>
      </c>
      <c r="T10" s="18">
        <f t="shared" si="0"/>
        <v>14262.184704393578</v>
      </c>
      <c r="U10" s="18">
        <f t="shared" si="1"/>
        <v>185.92827383628574</v>
      </c>
      <c r="V10" s="18">
        <f t="shared" si="2"/>
        <v>99.537993464297799</v>
      </c>
      <c r="W10" s="18">
        <f t="shared" si="3"/>
        <v>42.648418229112856</v>
      </c>
      <c r="X10" s="18">
        <f t="shared" si="4"/>
        <v>50.778336692108738</v>
      </c>
      <c r="Y10" s="18">
        <f t="shared" si="5"/>
        <v>90.536629382393315</v>
      </c>
      <c r="Z10" s="18">
        <f t="shared" si="6"/>
        <v>467.44245618404483</v>
      </c>
      <c r="AA10" s="18">
        <f t="shared" si="7"/>
        <v>259.08747565525607</v>
      </c>
      <c r="AB10" s="18">
        <f t="shared" si="8"/>
        <v>6.6310773223017838</v>
      </c>
      <c r="AC10" s="18">
        <v>18.040394797045558</v>
      </c>
      <c r="AD10" s="18">
        <v>17.648212301457612</v>
      </c>
      <c r="AE10" s="18"/>
      <c r="AH10" s="22">
        <f t="shared" si="12"/>
        <v>1</v>
      </c>
      <c r="AI10" s="22">
        <f t="shared" si="13"/>
        <v>9.2209044543544021</v>
      </c>
      <c r="AJ10" s="22">
        <f t="shared" si="14"/>
        <v>6.9791547036713339</v>
      </c>
      <c r="AK10" s="22">
        <f t="shared" si="15"/>
        <v>1.8066483651800811</v>
      </c>
      <c r="AL10" s="22">
        <f t="shared" si="16"/>
        <v>7.3750059765563938</v>
      </c>
      <c r="AM10" s="22">
        <f t="shared" si="17"/>
        <v>5.1136825312459964</v>
      </c>
      <c r="AN10" s="22">
        <f t="shared" si="18"/>
        <v>1.9009473668029724</v>
      </c>
      <c r="AO10" s="22">
        <f t="shared" si="19"/>
        <v>105.36305551684269</v>
      </c>
      <c r="AP10" s="22">
        <f t="shared" si="20"/>
        <v>149.81438782385442</v>
      </c>
      <c r="AS10" s="10" t="s">
        <v>68</v>
      </c>
      <c r="AT10" s="18">
        <v>8.0746263743674831</v>
      </c>
      <c r="AU10" s="18">
        <v>3.6785603745377173</v>
      </c>
      <c r="AV10" s="18">
        <v>4.2373183370040142</v>
      </c>
      <c r="AW10" s="18">
        <v>24.942311726452701</v>
      </c>
      <c r="AX10" s="18">
        <v>7.3640772274811575</v>
      </c>
    </row>
    <row r="11" spans="1:50" ht="14.5" x14ac:dyDescent="0.35">
      <c r="A11" s="14">
        <v>9</v>
      </c>
      <c r="B11" s="16">
        <v>75</v>
      </c>
      <c r="C11" s="16">
        <v>71</v>
      </c>
      <c r="D11" s="16">
        <v>14.139799999999999</v>
      </c>
      <c r="E11" s="16">
        <f t="shared" si="10"/>
        <v>5.3041768624733026</v>
      </c>
      <c r="F11" s="16">
        <f t="shared" si="11"/>
        <v>5.0212874298080594</v>
      </c>
      <c r="G11" s="10">
        <v>0.43819999999999998</v>
      </c>
      <c r="H11" s="11">
        <v>189.26829268292681</v>
      </c>
      <c r="I11" s="11">
        <v>0.51388888888888895</v>
      </c>
      <c r="J11" s="11">
        <v>0.37721518987341773</v>
      </c>
      <c r="K11" s="11">
        <v>0.44215938303341906</v>
      </c>
      <c r="L11" s="11">
        <v>0.38954248366013072</v>
      </c>
      <c r="M11" s="11">
        <v>0.64006650041562763</v>
      </c>
      <c r="N11" s="11">
        <v>4.798452514663671</v>
      </c>
      <c r="O11" s="11">
        <v>0.7652264445601249</v>
      </c>
      <c r="P11" s="12">
        <v>0.13252582828642681</v>
      </c>
      <c r="Q11" s="12"/>
      <c r="S11" s="13">
        <v>9</v>
      </c>
      <c r="T11" s="18">
        <f t="shared" si="0"/>
        <v>21596.108247709588</v>
      </c>
      <c r="U11" s="18">
        <f t="shared" si="1"/>
        <v>58.636340585222385</v>
      </c>
      <c r="V11" s="18">
        <f t="shared" si="2"/>
        <v>43.041441108331554</v>
      </c>
      <c r="W11" s="18">
        <f t="shared" si="3"/>
        <v>50.451778073187938</v>
      </c>
      <c r="X11" s="18">
        <f t="shared" si="4"/>
        <v>44.448024151087495</v>
      </c>
      <c r="Y11" s="18">
        <f t="shared" si="5"/>
        <v>73.03360342487764</v>
      </c>
      <c r="Z11" s="18">
        <f t="shared" si="6"/>
        <v>547.51854343492369</v>
      </c>
      <c r="AA11" s="18">
        <f t="shared" si="7"/>
        <v>87.314747211333284</v>
      </c>
      <c r="AB11" s="18">
        <f t="shared" si="8"/>
        <v>15.121614364037749</v>
      </c>
      <c r="AC11" s="18">
        <v>5.3041768624733026</v>
      </c>
      <c r="AD11" s="18">
        <v>5.0212874298080594</v>
      </c>
      <c r="AE11" s="18"/>
      <c r="AH11" s="22">
        <f t="shared" si="12"/>
        <v>1</v>
      </c>
      <c r="AI11" s="22">
        <f t="shared" si="13"/>
        <v>1.9204610538373428</v>
      </c>
      <c r="AJ11" s="22">
        <f t="shared" si="14"/>
        <v>1.993018400104398</v>
      </c>
      <c r="AK11" s="22">
        <f t="shared" si="15"/>
        <v>1.4114247917384433</v>
      </c>
      <c r="AL11" s="22">
        <f t="shared" si="16"/>
        <v>4.2633101350505846</v>
      </c>
      <c r="AM11" s="22">
        <f t="shared" si="17"/>
        <v>2.7242234714854714</v>
      </c>
      <c r="AN11" s="22">
        <f t="shared" si="18"/>
        <v>1.4704536185399755</v>
      </c>
      <c r="AO11" s="22">
        <f t="shared" si="19"/>
        <v>23.449851612937849</v>
      </c>
      <c r="AP11" s="22">
        <f t="shared" si="20"/>
        <v>225.62028899278567</v>
      </c>
      <c r="AS11" s="10" t="s">
        <v>65</v>
      </c>
      <c r="AT11" s="18">
        <v>9.135313518359288</v>
      </c>
      <c r="AU11" s="18">
        <v>6.5657335592516084</v>
      </c>
      <c r="AV11" s="18">
        <v>1.9204610538373428</v>
      </c>
      <c r="AW11" s="18">
        <v>33.152647760646111</v>
      </c>
      <c r="AX11" s="18">
        <v>7.2209663762181195</v>
      </c>
    </row>
    <row r="12" spans="1:50" ht="14.5" x14ac:dyDescent="0.35">
      <c r="A12" s="14">
        <v>10</v>
      </c>
      <c r="B12" s="16">
        <v>93</v>
      </c>
      <c r="C12" s="16">
        <v>88</v>
      </c>
      <c r="D12" s="16">
        <v>16.110399999999998</v>
      </c>
      <c r="E12" s="16">
        <f t="shared" si="10"/>
        <v>5.7726685867514158</v>
      </c>
      <c r="F12" s="16">
        <f t="shared" si="11"/>
        <v>5.4623100605819852</v>
      </c>
      <c r="G12" s="10">
        <v>0.44629999999999997</v>
      </c>
      <c r="H12" s="11">
        <v>155.28455284552845</v>
      </c>
      <c r="I12" s="11">
        <v>0.54270833333333335</v>
      </c>
      <c r="J12" s="11">
        <v>0.28101265822784804</v>
      </c>
      <c r="K12" s="11">
        <v>0.45758354755784064</v>
      </c>
      <c r="L12" s="11">
        <v>0.35032679738562089</v>
      </c>
      <c r="M12" s="11">
        <v>0.53823773898586857</v>
      </c>
      <c r="N12" s="11">
        <v>6.1275427430425555</v>
      </c>
      <c r="O12" s="11">
        <v>0.96824570536179055</v>
      </c>
      <c r="P12" s="12">
        <v>3.6337727110794436E-2</v>
      </c>
      <c r="Q12" s="12"/>
      <c r="S12" s="13">
        <v>10</v>
      </c>
      <c r="T12" s="18">
        <f t="shared" si="0"/>
        <v>17396.880220202605</v>
      </c>
      <c r="U12" s="18">
        <f t="shared" si="1"/>
        <v>60.800843976398539</v>
      </c>
      <c r="V12" s="18">
        <f t="shared" si="2"/>
        <v>31.482484677105987</v>
      </c>
      <c r="W12" s="18">
        <f t="shared" si="3"/>
        <v>51.26412139343946</v>
      </c>
      <c r="X12" s="18">
        <f t="shared" si="4"/>
        <v>39.247904703744219</v>
      </c>
      <c r="Y12" s="18">
        <f t="shared" si="5"/>
        <v>60.299993164448644</v>
      </c>
      <c r="Z12" s="18">
        <f t="shared" si="6"/>
        <v>686.48249417908983</v>
      </c>
      <c r="AA12" s="18">
        <f t="shared" si="7"/>
        <v>108.47475973132316</v>
      </c>
      <c r="AB12" s="18">
        <f t="shared" si="8"/>
        <v>4.0709978837995111</v>
      </c>
      <c r="AC12" s="18">
        <v>5.7726685867514158</v>
      </c>
      <c r="AD12" s="18">
        <v>5.4623100605819852</v>
      </c>
      <c r="AE12" s="18"/>
      <c r="AH12" s="22">
        <f t="shared" si="12"/>
        <v>1</v>
      </c>
      <c r="AI12" s="22">
        <f t="shared" si="13"/>
        <v>2.4720222513089007</v>
      </c>
      <c r="AJ12" s="22">
        <f t="shared" si="14"/>
        <v>1.8096626681688643</v>
      </c>
      <c r="AK12" s="22">
        <f t="shared" si="15"/>
        <v>1.7803234229262843</v>
      </c>
      <c r="AL12" s="22">
        <f t="shared" si="16"/>
        <v>4.6732075028964468</v>
      </c>
      <c r="AM12" s="22">
        <f t="shared" si="17"/>
        <v>2.7921669792940569</v>
      </c>
      <c r="AN12" s="22">
        <f t="shared" si="18"/>
        <v>2.2886853365898219</v>
      </c>
      <c r="AO12" s="22">
        <f t="shared" si="19"/>
        <v>36.164737497649284</v>
      </c>
      <c r="AP12" s="22">
        <f t="shared" si="20"/>
        <v>75.402369170566473</v>
      </c>
      <c r="AS12" s="10" t="s">
        <v>73</v>
      </c>
      <c r="AT12" s="18">
        <v>69.36560102760501</v>
      </c>
      <c r="AU12" s="18">
        <v>41.910908543115859</v>
      </c>
      <c r="AV12" s="18">
        <v>17.115216459920497</v>
      </c>
      <c r="AW12" s="18">
        <v>241.30810173665972</v>
      </c>
      <c r="AX12" s="18">
        <v>62.531793479113929</v>
      </c>
    </row>
    <row r="13" spans="1:50" ht="14.5" x14ac:dyDescent="0.35">
      <c r="A13" s="14">
        <v>11</v>
      </c>
      <c r="B13" s="16">
        <v>140</v>
      </c>
      <c r="C13" s="16">
        <v>129</v>
      </c>
      <c r="D13" s="16">
        <v>13.685700000000001</v>
      </c>
      <c r="E13" s="16">
        <f t="shared" si="10"/>
        <v>10.229655772083269</v>
      </c>
      <c r="F13" s="16">
        <f t="shared" si="11"/>
        <v>9.4258971042767268</v>
      </c>
      <c r="G13" s="10">
        <v>0.37490000000000001</v>
      </c>
      <c r="H13" s="11">
        <v>176.73170731707316</v>
      </c>
      <c r="I13" s="11">
        <v>0.69270833333333337</v>
      </c>
      <c r="J13" s="11">
        <v>0.2772151898734177</v>
      </c>
      <c r="K13" s="11">
        <v>0.46015424164524432</v>
      </c>
      <c r="L13" s="11">
        <v>0.41307189542483663</v>
      </c>
      <c r="M13" s="11">
        <v>0.66292601828761433</v>
      </c>
      <c r="N13" s="11">
        <v>6.3933607887183319</v>
      </c>
      <c r="O13" s="11">
        <v>0.86413326392503897</v>
      </c>
      <c r="P13" s="12">
        <v>3.9900249376558602E-2</v>
      </c>
      <c r="Q13" s="12"/>
      <c r="S13" s="13">
        <v>11</v>
      </c>
      <c r="T13" s="18">
        <f t="shared" si="0"/>
        <v>23570.513112439738</v>
      </c>
      <c r="U13" s="18">
        <f t="shared" si="1"/>
        <v>92.385747310393896</v>
      </c>
      <c r="V13" s="18">
        <f t="shared" si="2"/>
        <v>36.97188448565187</v>
      </c>
      <c r="W13" s="18">
        <f t="shared" si="3"/>
        <v>61.370264289843199</v>
      </c>
      <c r="X13" s="18">
        <f t="shared" si="4"/>
        <v>55.090943641615979</v>
      </c>
      <c r="Y13" s="18">
        <f t="shared" si="5"/>
        <v>88.413712761751711</v>
      </c>
      <c r="Z13" s="18">
        <f t="shared" si="6"/>
        <v>852.67548529185535</v>
      </c>
      <c r="AA13" s="18">
        <f t="shared" si="7"/>
        <v>115.24850145706041</v>
      </c>
      <c r="AB13" s="18">
        <f t="shared" si="8"/>
        <v>5.3214523041555877</v>
      </c>
      <c r="AC13" s="18">
        <v>10.229655772083269</v>
      </c>
      <c r="AD13" s="18">
        <v>9.4258971042767268</v>
      </c>
      <c r="AE13" s="18"/>
      <c r="AH13" s="22">
        <f t="shared" si="12"/>
        <v>1</v>
      </c>
      <c r="AI13" s="22">
        <f t="shared" si="13"/>
        <v>2.7723629128714702</v>
      </c>
      <c r="AJ13" s="22">
        <f t="shared" si="14"/>
        <v>1.5685651096895015</v>
      </c>
      <c r="AK13" s="22">
        <f t="shared" si="15"/>
        <v>1.5730615549849214</v>
      </c>
      <c r="AL13" s="22">
        <f t="shared" si="16"/>
        <v>4.8415133833457942</v>
      </c>
      <c r="AM13" s="22">
        <f t="shared" si="17"/>
        <v>3.0216634301836018</v>
      </c>
      <c r="AN13" s="22">
        <f t="shared" si="18"/>
        <v>2.0981799552266347</v>
      </c>
      <c r="AO13" s="22">
        <f t="shared" si="19"/>
        <v>28.359217521580771</v>
      </c>
      <c r="AP13" s="22">
        <f t="shared" si="20"/>
        <v>72.747257504106756</v>
      </c>
      <c r="AS13" s="10" t="s">
        <v>71</v>
      </c>
      <c r="AT13" s="18">
        <v>274.26322402453599</v>
      </c>
      <c r="AU13" s="18">
        <v>216.54472219249448</v>
      </c>
      <c r="AV13" s="18">
        <v>62.769202987130321</v>
      </c>
      <c r="AW13" s="18">
        <v>953.45758858732188</v>
      </c>
      <c r="AX13" s="18">
        <v>206.38020120150651</v>
      </c>
    </row>
    <row r="14" spans="1:50" ht="14.5" x14ac:dyDescent="0.35">
      <c r="A14" s="14">
        <v>12</v>
      </c>
      <c r="B14" s="16">
        <v>226</v>
      </c>
      <c r="C14" s="16">
        <v>222</v>
      </c>
      <c r="D14" s="16">
        <v>14.8826</v>
      </c>
      <c r="E14" s="16">
        <f t="shared" si="10"/>
        <v>15.185518659374035</v>
      </c>
      <c r="F14" s="16">
        <f t="shared" si="11"/>
        <v>14.916748417615201</v>
      </c>
      <c r="G14" s="10">
        <v>0.4088</v>
      </c>
      <c r="H14" s="11">
        <v>86.081300813008127</v>
      </c>
      <c r="I14" s="11">
        <v>1.3065972222222224</v>
      </c>
      <c r="J14" s="11">
        <v>0.97468354430379744</v>
      </c>
      <c r="K14" s="11">
        <v>0.28277634961439591</v>
      </c>
      <c r="L14" s="11">
        <v>0.35032679738562089</v>
      </c>
      <c r="M14" s="11">
        <v>0.58187863674147966</v>
      </c>
      <c r="N14" s="11">
        <v>2.6419568201672279</v>
      </c>
      <c r="O14" s="11">
        <v>1.3326392503904216</v>
      </c>
      <c r="P14" s="12">
        <v>0.12931955824723906</v>
      </c>
      <c r="Q14" s="12"/>
      <c r="S14" s="13">
        <v>12</v>
      </c>
      <c r="T14" s="18">
        <f t="shared" si="0"/>
        <v>10528.534835250504</v>
      </c>
      <c r="U14" s="18">
        <f t="shared" si="1"/>
        <v>159.80885790389215</v>
      </c>
      <c r="V14" s="18">
        <f t="shared" si="2"/>
        <v>119.21276226807699</v>
      </c>
      <c r="W14" s="18">
        <f t="shared" si="3"/>
        <v>34.586148436203025</v>
      </c>
      <c r="X14" s="18">
        <f t="shared" si="4"/>
        <v>42.848189504112142</v>
      </c>
      <c r="Y14" s="18">
        <f t="shared" si="5"/>
        <v>71.169109190494083</v>
      </c>
      <c r="Z14" s="18">
        <f t="shared" si="6"/>
        <v>323.13561890499363</v>
      </c>
      <c r="AA14" s="18">
        <f t="shared" si="7"/>
        <v>162.99403747436665</v>
      </c>
      <c r="AB14" s="18">
        <f t="shared" si="8"/>
        <v>15.816971409887362</v>
      </c>
      <c r="AC14" s="18">
        <v>15.185518659374035</v>
      </c>
      <c r="AD14" s="18">
        <v>14.916748417615201</v>
      </c>
      <c r="AE14" s="18"/>
      <c r="AH14" s="22">
        <f t="shared" si="12"/>
        <v>1</v>
      </c>
      <c r="AI14" s="22">
        <f t="shared" si="13"/>
        <v>10.736112422868658</v>
      </c>
      <c r="AJ14" s="22">
        <f t="shared" si="14"/>
        <v>11.322825458005958</v>
      </c>
      <c r="AK14" s="22">
        <f t="shared" si="15"/>
        <v>1.9846824216773518</v>
      </c>
      <c r="AL14" s="22">
        <f t="shared" si="16"/>
        <v>8.4301344262676743</v>
      </c>
      <c r="AM14" s="22">
        <f t="shared" si="17"/>
        <v>5.4452658598225927</v>
      </c>
      <c r="AN14" s="22">
        <f t="shared" si="18"/>
        <v>1.7801019980235178</v>
      </c>
      <c r="AO14" s="22">
        <f t="shared" si="19"/>
        <v>89.790785911270007</v>
      </c>
      <c r="AP14" s="22">
        <f t="shared" si="20"/>
        <v>484.07302215075964</v>
      </c>
    </row>
    <row r="15" spans="1:50" ht="14.5" x14ac:dyDescent="0.35">
      <c r="A15" s="14">
        <v>13</v>
      </c>
      <c r="B15" s="16">
        <v>81</v>
      </c>
      <c r="C15" s="16">
        <v>80</v>
      </c>
      <c r="D15" s="16">
        <v>14.133100000000001</v>
      </c>
      <c r="E15" s="16">
        <f t="shared" si="10"/>
        <v>5.7312266947803385</v>
      </c>
      <c r="F15" s="16">
        <f t="shared" si="11"/>
        <v>5.6604708096595928</v>
      </c>
      <c r="G15" s="10">
        <v>0.34250000000000003</v>
      </c>
      <c r="H15" s="11">
        <v>43.804878048780495</v>
      </c>
      <c r="I15" s="11">
        <v>0.73784722222222221</v>
      </c>
      <c r="J15" s="11">
        <v>0.4</v>
      </c>
      <c r="K15" s="11">
        <v>0.16195372750642675</v>
      </c>
      <c r="L15" s="11">
        <v>0.24052287581699347</v>
      </c>
      <c r="M15" s="11">
        <v>0.37822111388196178</v>
      </c>
      <c r="N15" s="11">
        <v>1.6098839385997752</v>
      </c>
      <c r="O15" s="11">
        <v>0.77043206663196251</v>
      </c>
      <c r="P15" s="12">
        <v>8.9775561097256859E-2</v>
      </c>
      <c r="Q15" s="12"/>
      <c r="S15" s="13">
        <v>13</v>
      </c>
      <c r="T15" s="18">
        <f t="shared" si="0"/>
        <v>6394.8727078511665</v>
      </c>
      <c r="U15" s="18">
        <f t="shared" si="1"/>
        <v>107.71492295214921</v>
      </c>
      <c r="V15" s="18">
        <f t="shared" si="2"/>
        <v>58.394160583941598</v>
      </c>
      <c r="W15" s="18">
        <f t="shared" si="3"/>
        <v>23.642879927945511</v>
      </c>
      <c r="X15" s="18">
        <f t="shared" si="4"/>
        <v>35.112828586422403</v>
      </c>
      <c r="Y15" s="18">
        <f t="shared" si="5"/>
        <v>55.214761150651348</v>
      </c>
      <c r="Z15" s="18">
        <f t="shared" si="6"/>
        <v>235.01955308025913</v>
      </c>
      <c r="AA15" s="18">
        <f t="shared" si="7"/>
        <v>112.47183454481203</v>
      </c>
      <c r="AB15" s="18">
        <f t="shared" si="8"/>
        <v>13.105921328066694</v>
      </c>
      <c r="AC15" s="18">
        <v>5.7312266947803385</v>
      </c>
      <c r="AD15" s="18">
        <v>5.6604708096595928</v>
      </c>
      <c r="AE15" s="18"/>
      <c r="AH15" s="22">
        <f t="shared" si="12"/>
        <v>1</v>
      </c>
      <c r="AI15" s="22">
        <f t="shared" si="13"/>
        <v>11.914014167285323</v>
      </c>
      <c r="AJ15" s="22">
        <f t="shared" si="14"/>
        <v>9.1314031180400885</v>
      </c>
      <c r="AK15" s="22">
        <f t="shared" si="15"/>
        <v>2.2337019998740417</v>
      </c>
      <c r="AL15" s="22">
        <f t="shared" si="16"/>
        <v>11.373755144225472</v>
      </c>
      <c r="AM15" s="22">
        <f t="shared" si="17"/>
        <v>6.9553468263680482</v>
      </c>
      <c r="AN15" s="22">
        <f t="shared" si="18"/>
        <v>2.1315723864088336</v>
      </c>
      <c r="AO15" s="22">
        <f t="shared" si="19"/>
        <v>102.00932374447696</v>
      </c>
      <c r="AP15" s="22">
        <f t="shared" si="20"/>
        <v>660.37578659142775</v>
      </c>
    </row>
    <row r="16" spans="1:50" ht="14.5" x14ac:dyDescent="0.35">
      <c r="A16" s="14">
        <v>14</v>
      </c>
      <c r="B16" s="16">
        <v>36</v>
      </c>
      <c r="C16" s="16">
        <v>33</v>
      </c>
      <c r="D16" s="16">
        <v>12.557700000000001</v>
      </c>
      <c r="E16" s="16">
        <f t="shared" si="10"/>
        <v>2.8667670035117894</v>
      </c>
      <c r="F16" s="16">
        <f t="shared" si="11"/>
        <v>2.6278697532191404</v>
      </c>
      <c r="G16" s="10">
        <v>0.4214</v>
      </c>
      <c r="H16" s="11">
        <v>52.081300813008134</v>
      </c>
      <c r="I16" s="11">
        <v>0.58576388888888886</v>
      </c>
      <c r="J16" s="11">
        <v>0.31645569620253161</v>
      </c>
      <c r="K16" s="11">
        <v>0.13110539845758354</v>
      </c>
      <c r="L16" s="11">
        <v>0.26143790849673199</v>
      </c>
      <c r="M16" s="11">
        <v>0.47589359933499581</v>
      </c>
      <c r="N16" s="11">
        <v>2.2313740172220142</v>
      </c>
      <c r="O16" s="11">
        <v>0.73919833420093695</v>
      </c>
      <c r="P16" s="12">
        <v>6.0206626291414315E-2</v>
      </c>
      <c r="Q16" s="12"/>
      <c r="S16" s="13">
        <v>14</v>
      </c>
      <c r="T16" s="18">
        <f t="shared" si="0"/>
        <v>6179.5563375662241</v>
      </c>
      <c r="U16" s="18">
        <f t="shared" si="1"/>
        <v>69.502122554448135</v>
      </c>
      <c r="V16" s="18">
        <f t="shared" si="2"/>
        <v>37.548136711263837</v>
      </c>
      <c r="W16" s="18">
        <f t="shared" si="3"/>
        <v>15.555932422589409</v>
      </c>
      <c r="X16" s="18">
        <f t="shared" si="4"/>
        <v>31.020160001985285</v>
      </c>
      <c r="Y16" s="18">
        <f t="shared" si="5"/>
        <v>56.465780651992858</v>
      </c>
      <c r="Z16" s="18">
        <f t="shared" si="6"/>
        <v>264.75723982226083</v>
      </c>
      <c r="AA16" s="18">
        <f t="shared" si="7"/>
        <v>87.707443545436277</v>
      </c>
      <c r="AB16" s="18">
        <f t="shared" si="8"/>
        <v>7.143643366328229</v>
      </c>
      <c r="AC16" s="18">
        <v>2.8667670035117894</v>
      </c>
      <c r="AD16" s="18">
        <v>2.6278697532191404</v>
      </c>
      <c r="AE16" s="18"/>
      <c r="AH16" s="22">
        <f t="shared" si="12"/>
        <v>1</v>
      </c>
      <c r="AI16" s="22">
        <f t="shared" si="13"/>
        <v>7.9552697991466337</v>
      </c>
      <c r="AJ16" s="22">
        <f t="shared" si="14"/>
        <v>6.0761864865612516</v>
      </c>
      <c r="AK16" s="22">
        <f t="shared" si="15"/>
        <v>1.5208819735996215</v>
      </c>
      <c r="AL16" s="22">
        <f t="shared" si="16"/>
        <v>10.398164885685773</v>
      </c>
      <c r="AM16" s="22">
        <f t="shared" si="17"/>
        <v>7.3607749194675565</v>
      </c>
      <c r="AN16" s="22">
        <f t="shared" si="18"/>
        <v>2.4849550794351933</v>
      </c>
      <c r="AO16" s="22">
        <f t="shared" si="19"/>
        <v>82.320338997650381</v>
      </c>
      <c r="AP16" s="22">
        <f t="shared" si="20"/>
        <v>372.49286429644928</v>
      </c>
    </row>
    <row r="17" spans="1:42" ht="14.5" x14ac:dyDescent="0.35">
      <c r="A17" s="14">
        <v>15</v>
      </c>
      <c r="B17" s="16">
        <v>90</v>
      </c>
      <c r="C17" s="16">
        <v>82</v>
      </c>
      <c r="D17" s="16">
        <v>12.256</v>
      </c>
      <c r="E17" s="16">
        <f t="shared" si="10"/>
        <v>7.3433420365535245</v>
      </c>
      <c r="F17" s="16">
        <f t="shared" si="11"/>
        <v>6.6906005221932112</v>
      </c>
      <c r="G17" s="10">
        <v>0.3997</v>
      </c>
      <c r="H17" s="11">
        <v>50.650406504065039</v>
      </c>
      <c r="I17" s="11">
        <v>0.3996527777777778</v>
      </c>
      <c r="J17" s="11">
        <v>0.3139240506329114</v>
      </c>
      <c r="K17" s="11">
        <v>0.18766066838046275</v>
      </c>
      <c r="L17" s="11">
        <v>0.31633986928104574</v>
      </c>
      <c r="M17" s="11">
        <v>0.4904405652535328</v>
      </c>
      <c r="N17" s="11">
        <v>3.5192811681018337</v>
      </c>
      <c r="O17" s="11">
        <v>0.68714211348256116</v>
      </c>
      <c r="P17" s="12">
        <v>3.7050231563947274E-2</v>
      </c>
      <c r="Q17" s="12"/>
      <c r="S17" s="13">
        <v>15</v>
      </c>
      <c r="T17" s="18">
        <f t="shared" si="0"/>
        <v>6336.0528526476155</v>
      </c>
      <c r="U17" s="18">
        <f t="shared" si="1"/>
        <v>49.994092791816087</v>
      </c>
      <c r="V17" s="18">
        <f t="shared" si="2"/>
        <v>39.269958798212585</v>
      </c>
      <c r="W17" s="18">
        <f t="shared" si="3"/>
        <v>23.475189940012854</v>
      </c>
      <c r="X17" s="18">
        <f t="shared" si="4"/>
        <v>39.572162782217376</v>
      </c>
      <c r="Y17" s="18">
        <f t="shared" si="5"/>
        <v>61.351083969668849</v>
      </c>
      <c r="Z17" s="18">
        <f t="shared" si="6"/>
        <v>440.24032625742228</v>
      </c>
      <c r="AA17" s="18">
        <f t="shared" si="7"/>
        <v>85.957232109402199</v>
      </c>
      <c r="AB17" s="18">
        <f t="shared" si="8"/>
        <v>4.6347550117522234</v>
      </c>
      <c r="AC17" s="18">
        <v>7.3433420365535245</v>
      </c>
      <c r="AD17" s="18">
        <v>6.6906005221932112</v>
      </c>
      <c r="AE17" s="18"/>
      <c r="AH17" s="22">
        <f t="shared" si="12"/>
        <v>1</v>
      </c>
      <c r="AI17" s="22">
        <f t="shared" si="13"/>
        <v>5.581025949705726</v>
      </c>
      <c r="AJ17" s="22">
        <f t="shared" si="14"/>
        <v>6.1978584635390215</v>
      </c>
      <c r="AK17" s="22">
        <f t="shared" si="15"/>
        <v>2.2384483818656724</v>
      </c>
      <c r="AL17" s="22">
        <f t="shared" si="16"/>
        <v>12.937219831752925</v>
      </c>
      <c r="AM17" s="22">
        <f t="shared" si="17"/>
        <v>7.8000780107871934</v>
      </c>
      <c r="AN17" s="22">
        <f t="shared" si="18"/>
        <v>4.0299441176947806</v>
      </c>
      <c r="AO17" s="22">
        <f t="shared" si="19"/>
        <v>78.684941213235817</v>
      </c>
      <c r="AP17" s="22">
        <f t="shared" si="20"/>
        <v>235.70211519279462</v>
      </c>
    </row>
    <row r="18" spans="1:42" ht="14.5" x14ac:dyDescent="0.35">
      <c r="A18" s="14">
        <v>16</v>
      </c>
      <c r="B18" s="16">
        <v>84</v>
      </c>
      <c r="C18" s="16">
        <v>77</v>
      </c>
      <c r="D18" s="16">
        <v>14.840299999999999</v>
      </c>
      <c r="E18" s="16">
        <f t="shared" si="10"/>
        <v>5.6602629326900402</v>
      </c>
      <c r="F18" s="16">
        <f t="shared" si="11"/>
        <v>5.1885743549658701</v>
      </c>
      <c r="G18" s="10">
        <v>0.42499999999999999</v>
      </c>
      <c r="H18" s="11">
        <v>71.284552845528452</v>
      </c>
      <c r="I18" s="11">
        <v>0.70729166666666665</v>
      </c>
      <c r="J18" s="11">
        <v>0.33670886075949363</v>
      </c>
      <c r="K18" s="11">
        <v>0.22107969151670953</v>
      </c>
      <c r="L18" s="11">
        <v>0.32418300653594773</v>
      </c>
      <c r="M18" s="11">
        <v>0.53615960099750615</v>
      </c>
      <c r="N18" s="11">
        <v>3.1923124922001742</v>
      </c>
      <c r="O18" s="11">
        <v>0.72358146798542422</v>
      </c>
      <c r="P18" s="12">
        <v>0.42536515853224083</v>
      </c>
      <c r="Q18" s="12"/>
      <c r="S18" s="13">
        <v>16</v>
      </c>
      <c r="T18" s="18">
        <f t="shared" si="0"/>
        <v>8386.4179818268767</v>
      </c>
      <c r="U18" s="18">
        <f t="shared" si="1"/>
        <v>83.210784313725497</v>
      </c>
      <c r="V18" s="18">
        <f t="shared" si="2"/>
        <v>39.612807148175719</v>
      </c>
      <c r="W18" s="18">
        <f t="shared" si="3"/>
        <v>26.009375472554066</v>
      </c>
      <c r="X18" s="18">
        <f t="shared" si="4"/>
        <v>38.139177239523256</v>
      </c>
      <c r="Y18" s="18">
        <f t="shared" si="5"/>
        <v>63.077600117353668</v>
      </c>
      <c r="Z18" s="18">
        <f t="shared" si="6"/>
        <v>375.56617555296174</v>
      </c>
      <c r="AA18" s="18">
        <f t="shared" si="7"/>
        <v>85.127231527696964</v>
      </c>
      <c r="AB18" s="18">
        <f t="shared" si="8"/>
        <v>50.042959827322449</v>
      </c>
      <c r="AC18" s="18">
        <v>5.6602629326900402</v>
      </c>
      <c r="AD18" s="18">
        <v>5.1885743549658701</v>
      </c>
      <c r="AE18" s="18"/>
      <c r="AH18" s="22">
        <f t="shared" si="12"/>
        <v>1</v>
      </c>
      <c r="AI18" s="22">
        <f t="shared" si="13"/>
        <v>7.0180628421532862</v>
      </c>
      <c r="AJ18" s="22">
        <f t="shared" si="14"/>
        <v>4.723447750161692</v>
      </c>
      <c r="AK18" s="22">
        <f t="shared" si="15"/>
        <v>1.8737436788133532</v>
      </c>
      <c r="AL18" s="22">
        <f t="shared" si="16"/>
        <v>9.42030096710217</v>
      </c>
      <c r="AM18" s="22">
        <f t="shared" si="17"/>
        <v>6.0589051625801682</v>
      </c>
      <c r="AN18" s="22">
        <f t="shared" si="18"/>
        <v>2.597394767262323</v>
      </c>
      <c r="AO18" s="22">
        <f t="shared" si="19"/>
        <v>58.873519532481936</v>
      </c>
      <c r="AP18" s="25"/>
    </row>
    <row r="19" spans="1:42" ht="14.5" x14ac:dyDescent="0.35">
      <c r="A19" s="14">
        <v>17</v>
      </c>
      <c r="B19" s="16">
        <v>173</v>
      </c>
      <c r="C19" s="16">
        <v>169</v>
      </c>
      <c r="D19" s="16">
        <v>14.460599999999999</v>
      </c>
      <c r="E19" s="16">
        <f t="shared" si="10"/>
        <v>11.963542314980016</v>
      </c>
      <c r="F19" s="16">
        <f t="shared" si="11"/>
        <v>11.686928619835969</v>
      </c>
      <c r="G19" s="10">
        <v>0.42530000000000001</v>
      </c>
      <c r="H19" s="11">
        <v>108.45528455284551</v>
      </c>
      <c r="I19" s="11">
        <v>2.8902777777777779</v>
      </c>
      <c r="J19" s="11">
        <v>0.82658227848101262</v>
      </c>
      <c r="K19" s="11">
        <v>0.51156812339331625</v>
      </c>
      <c r="L19" s="11">
        <v>0.33202614379084966</v>
      </c>
      <c r="M19" s="11">
        <v>0.69825436408977559</v>
      </c>
      <c r="N19" s="11">
        <v>4.0821165605890428</v>
      </c>
      <c r="O19" s="11">
        <v>1.1192087454450808</v>
      </c>
      <c r="P19" s="12">
        <v>4.6669041681510509E-2</v>
      </c>
      <c r="Q19" s="12"/>
      <c r="S19" s="13">
        <v>17</v>
      </c>
      <c r="T19" s="18">
        <f t="shared" si="0"/>
        <v>12750.444927444805</v>
      </c>
      <c r="U19" s="18">
        <f t="shared" si="1"/>
        <v>339.79282597904745</v>
      </c>
      <c r="V19" s="18">
        <f t="shared" si="2"/>
        <v>97.176378847991131</v>
      </c>
      <c r="W19" s="18">
        <f t="shared" si="3"/>
        <v>60.142031906103483</v>
      </c>
      <c r="X19" s="18">
        <f t="shared" si="4"/>
        <v>39.034345613784346</v>
      </c>
      <c r="Y19" s="18">
        <f t="shared" si="5"/>
        <v>82.089626627060383</v>
      </c>
      <c r="Z19" s="18">
        <f t="shared" si="6"/>
        <v>479.91024695380236</v>
      </c>
      <c r="AA19" s="18">
        <f t="shared" si="7"/>
        <v>131.57873800200809</v>
      </c>
      <c r="AB19" s="18">
        <f t="shared" si="8"/>
        <v>5.4866025959923004</v>
      </c>
      <c r="AC19" s="18">
        <v>11.963542314980016</v>
      </c>
      <c r="AD19" s="18">
        <v>11.686928619835969</v>
      </c>
      <c r="AE19" s="18"/>
      <c r="AH19" s="22">
        <f t="shared" ref="AH19:AH46" si="21">(T19/$T19)/AH$2</f>
        <v>1</v>
      </c>
      <c r="AI19" s="22">
        <f t="shared" ref="AI19:AI46" si="22">(U19/$T19)/AI$2</f>
        <v>18.849637681159425</v>
      </c>
      <c r="AJ19" s="22">
        <f t="shared" ref="AJ19:AJ46" si="23">(V19/$T19)/AJ$2</f>
        <v>7.6214108135805514</v>
      </c>
      <c r="AK19" s="22">
        <f t="shared" si="15"/>
        <v>2.8497680786855937</v>
      </c>
      <c r="AL19" s="22">
        <f t="shared" ref="AL19:AL46" si="24">(X19/$T19)/AL$2</f>
        <v>6.3414931189867261</v>
      </c>
      <c r="AM19" s="22">
        <f t="shared" ref="AM19:AM46" si="25">(Y19/$T19)/AM$2</f>
        <v>5.1863095883479726</v>
      </c>
      <c r="AN19" s="22">
        <f t="shared" ref="AN19:AN46" si="26">(Z19/$T19)/AN$2</f>
        <v>2.1830449432715318</v>
      </c>
      <c r="AO19" s="22">
        <f t="shared" ref="AO19:AO46" si="27">(AA19/$T19)/AO$2</f>
        <v>59.853337256410853</v>
      </c>
      <c r="AP19" s="22">
        <f t="shared" ref="AP19:AP45" si="28">(AB19/$T19)/AP$2</f>
        <v>138.65439919869067</v>
      </c>
    </row>
    <row r="20" spans="1:42" ht="14.5" x14ac:dyDescent="0.35">
      <c r="A20" s="14">
        <v>18</v>
      </c>
      <c r="B20" s="16">
        <v>135</v>
      </c>
      <c r="C20" s="16">
        <v>132</v>
      </c>
      <c r="D20" s="16">
        <v>15.683999999999999</v>
      </c>
      <c r="E20" s="16">
        <f t="shared" si="10"/>
        <v>8.6074980872226483</v>
      </c>
      <c r="F20" s="16">
        <f t="shared" si="11"/>
        <v>8.4162203519510328</v>
      </c>
      <c r="G20" s="10">
        <v>0.42509999999999998</v>
      </c>
      <c r="H20" s="11">
        <v>75.707317073170728</v>
      </c>
      <c r="I20" s="11">
        <v>0.87222222222222223</v>
      </c>
      <c r="J20" s="11">
        <v>0.35949367088607592</v>
      </c>
      <c r="K20" s="11">
        <v>0.19023136246786632</v>
      </c>
      <c r="L20" s="11">
        <v>0.29542483660130719</v>
      </c>
      <c r="M20" s="11">
        <v>0.47797173732335824</v>
      </c>
      <c r="N20" s="11">
        <v>2.6631723449394733</v>
      </c>
      <c r="O20" s="11">
        <v>1.0359187922956794</v>
      </c>
      <c r="P20" s="12">
        <v>3.6337727110794436E-2</v>
      </c>
      <c r="Q20" s="12"/>
      <c r="S20" s="13">
        <v>18</v>
      </c>
      <c r="T20" s="18">
        <f t="shared" si="0"/>
        <v>8904.6479737909576</v>
      </c>
      <c r="U20" s="18">
        <f t="shared" si="1"/>
        <v>102.59024020491911</v>
      </c>
      <c r="V20" s="18">
        <f t="shared" si="2"/>
        <v>42.283424004478469</v>
      </c>
      <c r="W20" s="18">
        <f t="shared" si="3"/>
        <v>22.374895609017447</v>
      </c>
      <c r="X20" s="18">
        <f t="shared" si="4"/>
        <v>34.747687203164809</v>
      </c>
      <c r="Y20" s="18">
        <f t="shared" si="5"/>
        <v>56.218741157769728</v>
      </c>
      <c r="Z20" s="18">
        <f t="shared" si="6"/>
        <v>313.24068983056617</v>
      </c>
      <c r="AA20" s="18">
        <f t="shared" si="7"/>
        <v>121.84412988657721</v>
      </c>
      <c r="AB20" s="18">
        <f t="shared" si="8"/>
        <v>4.2740210669012511</v>
      </c>
      <c r="AC20" s="18">
        <v>8.6074980872226483</v>
      </c>
      <c r="AD20" s="18">
        <v>8.4162203519510328</v>
      </c>
      <c r="AE20" s="18"/>
      <c r="AH20" s="22">
        <f t="shared" si="21"/>
        <v>1</v>
      </c>
      <c r="AI20" s="22">
        <f t="shared" si="22"/>
        <v>8.1489833906071034</v>
      </c>
      <c r="AJ20" s="22">
        <f t="shared" si="23"/>
        <v>4.748466657966854</v>
      </c>
      <c r="AK20" s="22">
        <f t="shared" si="15"/>
        <v>1.5181022469279766</v>
      </c>
      <c r="AL20" s="22">
        <f t="shared" si="24"/>
        <v>8.083121564777116</v>
      </c>
      <c r="AM20" s="22">
        <f t="shared" si="25"/>
        <v>5.0858068055329424</v>
      </c>
      <c r="AN20" s="22">
        <f t="shared" si="26"/>
        <v>2.0402782977661302</v>
      </c>
      <c r="AO20" s="22">
        <f t="shared" si="27"/>
        <v>79.362593043786276</v>
      </c>
      <c r="AP20" s="22">
        <f t="shared" si="28"/>
        <v>154.6590690676353</v>
      </c>
    </row>
    <row r="21" spans="1:42" ht="14.5" x14ac:dyDescent="0.35">
      <c r="A21" s="14">
        <v>19</v>
      </c>
      <c r="B21" s="16">
        <v>150</v>
      </c>
      <c r="C21" s="16">
        <v>146</v>
      </c>
      <c r="D21" s="16">
        <v>13.6389</v>
      </c>
      <c r="E21" s="16">
        <f t="shared" si="10"/>
        <v>10.997954380485231</v>
      </c>
      <c r="F21" s="16">
        <f t="shared" si="11"/>
        <v>10.704675597005624</v>
      </c>
      <c r="G21" s="10">
        <v>0.41789999999999999</v>
      </c>
      <c r="H21" s="11">
        <v>69.869918699186996</v>
      </c>
      <c r="I21" s="11">
        <v>2.0677083333333335</v>
      </c>
      <c r="J21" s="11">
        <v>0.61392405063291144</v>
      </c>
      <c r="K21" s="11">
        <v>0.2467866323907455</v>
      </c>
      <c r="L21" s="11">
        <v>0.2849673202614379</v>
      </c>
      <c r="M21" s="11">
        <v>0.50290939318370731</v>
      </c>
      <c r="N21" s="11">
        <v>3.0987145887932108</v>
      </c>
      <c r="O21" s="11">
        <v>1.3014055179593962</v>
      </c>
      <c r="P21" s="12">
        <v>7.4456715354470959E-2</v>
      </c>
      <c r="Q21" s="12"/>
      <c r="S21" s="13">
        <v>19</v>
      </c>
      <c r="T21" s="18">
        <f t="shared" si="0"/>
        <v>8359.6456926521896</v>
      </c>
      <c r="U21" s="18">
        <f t="shared" si="1"/>
        <v>247.39271755603414</v>
      </c>
      <c r="V21" s="18">
        <f t="shared" si="2"/>
        <v>73.453463823033189</v>
      </c>
      <c r="W21" s="18">
        <f t="shared" si="3"/>
        <v>29.526995978792232</v>
      </c>
      <c r="X21" s="18">
        <f t="shared" si="4"/>
        <v>34.095156767341216</v>
      </c>
      <c r="Y21" s="18">
        <f t="shared" si="5"/>
        <v>60.171020960003268</v>
      </c>
      <c r="Z21" s="18">
        <f t="shared" si="6"/>
        <v>370.74833558186299</v>
      </c>
      <c r="AA21" s="18">
        <f t="shared" si="7"/>
        <v>155.70776716432115</v>
      </c>
      <c r="AB21" s="18">
        <f t="shared" si="8"/>
        <v>8.9084368694030811</v>
      </c>
      <c r="AC21" s="18">
        <v>10.997954380485231</v>
      </c>
      <c r="AD21" s="18">
        <v>10.704675597005624</v>
      </c>
      <c r="AE21" s="18"/>
      <c r="AH21" s="22">
        <f t="shared" si="21"/>
        <v>1</v>
      </c>
      <c r="AI21" s="22">
        <f t="shared" si="22"/>
        <v>20.932118338375609</v>
      </c>
      <c r="AJ21" s="22">
        <f t="shared" si="23"/>
        <v>8.7866718906036869</v>
      </c>
      <c r="AK21" s="22">
        <f t="shared" si="15"/>
        <v>2.1339692366229079</v>
      </c>
      <c r="AL21" s="22">
        <f t="shared" si="24"/>
        <v>8.4484061253079297</v>
      </c>
      <c r="AM21" s="22">
        <f t="shared" si="25"/>
        <v>5.7982242310083389</v>
      </c>
      <c r="AN21" s="22">
        <f t="shared" si="26"/>
        <v>2.5722864645625743</v>
      </c>
      <c r="AO21" s="22">
        <f t="shared" si="27"/>
        <v>108.03149831419981</v>
      </c>
      <c r="AP21" s="22">
        <f t="shared" si="28"/>
        <v>343.37535705711724</v>
      </c>
    </row>
    <row r="22" spans="1:42" ht="14.5" x14ac:dyDescent="0.35">
      <c r="A22" s="14">
        <v>20</v>
      </c>
      <c r="B22" s="16">
        <v>77</v>
      </c>
      <c r="C22" s="16">
        <v>74</v>
      </c>
      <c r="D22" s="16">
        <v>13.874000000000001</v>
      </c>
      <c r="E22" s="16">
        <f t="shared" si="10"/>
        <v>5.5499495459132184</v>
      </c>
      <c r="F22" s="16">
        <f t="shared" si="11"/>
        <v>5.3337177454230931</v>
      </c>
      <c r="G22" s="10">
        <v>0.40160000000000001</v>
      </c>
      <c r="H22" s="11">
        <v>74.878048780487802</v>
      </c>
      <c r="I22" s="11">
        <v>0.74131944444444453</v>
      </c>
      <c r="J22" s="11">
        <v>0.46835443037974689</v>
      </c>
      <c r="K22" s="11">
        <v>0.22879177377892032</v>
      </c>
      <c r="L22" s="11">
        <v>0.35294117647058826</v>
      </c>
      <c r="M22" s="11">
        <v>0.56109725685785528</v>
      </c>
      <c r="N22" s="11">
        <v>3.1236740297017338</v>
      </c>
      <c r="O22" s="11">
        <v>0.90577824049973954</v>
      </c>
      <c r="P22" s="12">
        <v>4.8806555040969007E-2</v>
      </c>
      <c r="Q22" s="12"/>
      <c r="S22" s="13">
        <v>20</v>
      </c>
      <c r="T22" s="18">
        <f t="shared" si="0"/>
        <v>9322.4662326304533</v>
      </c>
      <c r="U22" s="18">
        <f t="shared" si="1"/>
        <v>92.295747565294391</v>
      </c>
      <c r="V22" s="18">
        <f t="shared" si="2"/>
        <v>58.311059559231438</v>
      </c>
      <c r="W22" s="18">
        <f t="shared" si="3"/>
        <v>28.485031595981113</v>
      </c>
      <c r="X22" s="18">
        <f t="shared" si="4"/>
        <v>43.941879540660885</v>
      </c>
      <c r="Y22" s="18">
        <f t="shared" si="5"/>
        <v>69.857726202422214</v>
      </c>
      <c r="Z22" s="18">
        <f t="shared" si="6"/>
        <v>388.90363915609231</v>
      </c>
      <c r="AA22" s="18">
        <f t="shared" si="7"/>
        <v>112.77119528134207</v>
      </c>
      <c r="AB22" s="18">
        <f t="shared" si="8"/>
        <v>6.0765133268138705</v>
      </c>
      <c r="AC22" s="18">
        <v>5.5499495459132184</v>
      </c>
      <c r="AD22" s="18">
        <v>5.3337177454230931</v>
      </c>
      <c r="AE22" s="18"/>
      <c r="AH22" s="22">
        <f t="shared" si="21"/>
        <v>1</v>
      </c>
      <c r="AI22" s="22">
        <f t="shared" si="22"/>
        <v>7.0026918204849817</v>
      </c>
      <c r="AJ22" s="22">
        <f t="shared" si="23"/>
        <v>6.2548963014884764</v>
      </c>
      <c r="AK22" s="22">
        <f t="shared" si="15"/>
        <v>1.8460465460310551</v>
      </c>
      <c r="AL22" s="22">
        <f t="shared" si="24"/>
        <v>9.7637752169271632</v>
      </c>
      <c r="AM22" s="22">
        <f t="shared" si="25"/>
        <v>6.0364154759680595</v>
      </c>
      <c r="AN22" s="22">
        <f t="shared" si="26"/>
        <v>2.4195755187722225</v>
      </c>
      <c r="AO22" s="22">
        <f t="shared" si="27"/>
        <v>70.160933417211083</v>
      </c>
      <c r="AP22" s="22">
        <f t="shared" si="28"/>
        <v>210.02893211622205</v>
      </c>
    </row>
    <row r="23" spans="1:42" ht="14.5" x14ac:dyDescent="0.35">
      <c r="A23" s="14">
        <v>21</v>
      </c>
      <c r="B23" s="16">
        <v>93</v>
      </c>
      <c r="C23" s="16">
        <v>86</v>
      </c>
      <c r="D23" s="16">
        <v>12.803000000000001</v>
      </c>
      <c r="E23" s="16">
        <f t="shared" si="10"/>
        <v>7.2639225181598057</v>
      </c>
      <c r="F23" s="16">
        <f t="shared" si="11"/>
        <v>6.7171756619542293</v>
      </c>
      <c r="G23" s="10">
        <v>0.4289</v>
      </c>
      <c r="H23" s="11">
        <v>99.821138211382106</v>
      </c>
      <c r="I23" s="11">
        <v>0.69166666666666665</v>
      </c>
      <c r="J23" s="11">
        <v>0.38354430379746834</v>
      </c>
      <c r="K23" s="11">
        <v>0.37789203084832906</v>
      </c>
      <c r="L23" s="11">
        <v>0.41045751633986927</v>
      </c>
      <c r="M23" s="11">
        <v>0.66292601828761433</v>
      </c>
      <c r="N23" s="11">
        <v>5.1865718207912135</v>
      </c>
      <c r="O23" s="11">
        <v>1.025507548152004</v>
      </c>
      <c r="P23" s="12">
        <v>4.9162807267545419E-2</v>
      </c>
      <c r="Q23" s="12"/>
      <c r="S23" s="13">
        <v>21</v>
      </c>
      <c r="T23" s="18">
        <f t="shared" si="0"/>
        <v>11636.877851641655</v>
      </c>
      <c r="U23" s="18">
        <f t="shared" si="1"/>
        <v>80.632626097769489</v>
      </c>
      <c r="V23" s="18">
        <f t="shared" si="2"/>
        <v>44.712555816911674</v>
      </c>
      <c r="W23" s="18">
        <f t="shared" si="3"/>
        <v>44.053629149956755</v>
      </c>
      <c r="X23" s="18">
        <f t="shared" si="4"/>
        <v>47.850025220315835</v>
      </c>
      <c r="Y23" s="18">
        <f t="shared" si="5"/>
        <v>77.282119175520435</v>
      </c>
      <c r="Z23" s="18">
        <f t="shared" si="6"/>
        <v>604.63649111578604</v>
      </c>
      <c r="AA23" s="18">
        <f t="shared" si="7"/>
        <v>119.55089160083982</v>
      </c>
      <c r="AB23" s="18">
        <f t="shared" si="8"/>
        <v>5.7312668766082329</v>
      </c>
      <c r="AC23" s="18">
        <v>7.2639225181598057</v>
      </c>
      <c r="AD23" s="18">
        <v>6.7171756619542293</v>
      </c>
      <c r="AE23" s="18"/>
      <c r="AH23" s="22">
        <f t="shared" si="21"/>
        <v>1</v>
      </c>
      <c r="AI23" s="22">
        <f t="shared" si="22"/>
        <v>4.9010425150676005</v>
      </c>
      <c r="AJ23" s="22">
        <f t="shared" si="23"/>
        <v>3.8423154721525168</v>
      </c>
      <c r="AK23" s="22">
        <f t="shared" si="15"/>
        <v>2.2871885928014701</v>
      </c>
      <c r="AL23" s="22">
        <f t="shared" si="24"/>
        <v>8.5175689431987145</v>
      </c>
      <c r="AM23" s="22">
        <f t="shared" si="25"/>
        <v>5.3498061284680833</v>
      </c>
      <c r="AN23" s="22">
        <f t="shared" si="26"/>
        <v>3.0136018382085443</v>
      </c>
      <c r="AO23" s="22">
        <f t="shared" si="27"/>
        <v>59.586014403945235</v>
      </c>
      <c r="AP23" s="22">
        <f t="shared" si="28"/>
        <v>158.69733898330756</v>
      </c>
    </row>
    <row r="24" spans="1:42" ht="14.5" x14ac:dyDescent="0.35">
      <c r="A24" s="14">
        <v>22</v>
      </c>
      <c r="B24" s="16">
        <v>74</v>
      </c>
      <c r="C24" s="16">
        <v>69</v>
      </c>
      <c r="D24" s="16">
        <v>15.011799999999999</v>
      </c>
      <c r="E24" s="16">
        <f t="shared" si="10"/>
        <v>4.9294554950105915</v>
      </c>
      <c r="F24" s="16">
        <f t="shared" si="11"/>
        <v>4.5963841777801466</v>
      </c>
      <c r="G24" s="10">
        <v>0.39650000000000002</v>
      </c>
      <c r="H24" s="11">
        <v>92.585365853658544</v>
      </c>
      <c r="I24" s="11">
        <v>0.51458333333333339</v>
      </c>
      <c r="J24" s="11">
        <v>0.26708860759493669</v>
      </c>
      <c r="K24" s="11">
        <v>0.28534704370179953</v>
      </c>
      <c r="L24" s="11">
        <v>0.30849673202614381</v>
      </c>
      <c r="M24" s="11">
        <v>0.51122194513715713</v>
      </c>
      <c r="N24" s="11">
        <v>3.6740297017346806</v>
      </c>
      <c r="O24" s="11">
        <v>0.78084331077563762</v>
      </c>
      <c r="P24" s="12">
        <v>0.30032062700391876</v>
      </c>
      <c r="Q24" s="12"/>
      <c r="S24" s="13">
        <v>22</v>
      </c>
      <c r="T24" s="18">
        <f t="shared" si="0"/>
        <v>11675.329868052781</v>
      </c>
      <c r="U24" s="18">
        <f t="shared" si="1"/>
        <v>64.890710382513674</v>
      </c>
      <c r="V24" s="18">
        <f t="shared" si="2"/>
        <v>33.680782798857081</v>
      </c>
      <c r="W24" s="18">
        <f t="shared" si="3"/>
        <v>35.983233758108383</v>
      </c>
      <c r="X24" s="18">
        <f t="shared" si="4"/>
        <v>38.902488275680177</v>
      </c>
      <c r="Y24" s="18">
        <f t="shared" si="5"/>
        <v>64.466827886148437</v>
      </c>
      <c r="Z24" s="18">
        <f t="shared" si="6"/>
        <v>463.30765469542001</v>
      </c>
      <c r="AA24" s="18">
        <f t="shared" si="7"/>
        <v>98.467000097810541</v>
      </c>
      <c r="AB24" s="18">
        <f t="shared" si="8"/>
        <v>37.871453594441206</v>
      </c>
      <c r="AC24" s="18">
        <v>4.9294554950105915</v>
      </c>
      <c r="AD24" s="18">
        <v>4.5963841777801466</v>
      </c>
      <c r="AE24" s="18"/>
      <c r="AH24" s="22">
        <f t="shared" si="21"/>
        <v>1</v>
      </c>
      <c r="AI24" s="22">
        <f t="shared" si="22"/>
        <v>3.9312214611872149</v>
      </c>
      <c r="AJ24" s="22">
        <f t="shared" si="23"/>
        <v>2.8847821157514231</v>
      </c>
      <c r="AK24" s="22">
        <f t="shared" si="15"/>
        <v>1.8620347896988032</v>
      </c>
      <c r="AL24" s="22">
        <f t="shared" si="24"/>
        <v>6.9020513017289806</v>
      </c>
      <c r="AM24" s="22">
        <f t="shared" si="25"/>
        <v>4.4479780819582002</v>
      </c>
      <c r="AN24" s="22">
        <f t="shared" si="26"/>
        <v>2.3015918416030217</v>
      </c>
      <c r="AO24" s="22">
        <f t="shared" si="27"/>
        <v>48.915842808863694</v>
      </c>
      <c r="AP24" s="25"/>
    </row>
    <row r="25" spans="1:42" ht="14.5" x14ac:dyDescent="0.35">
      <c r="A25" s="14">
        <v>23</v>
      </c>
      <c r="B25" s="16">
        <v>97</v>
      </c>
      <c r="C25" s="16">
        <v>92</v>
      </c>
      <c r="D25" s="16">
        <v>12.988099999999999</v>
      </c>
      <c r="E25" s="16">
        <f t="shared" si="10"/>
        <v>7.4683748970211195</v>
      </c>
      <c r="F25" s="16">
        <f t="shared" si="11"/>
        <v>7.0834071188241552</v>
      </c>
      <c r="G25" s="10">
        <v>0.40910000000000002</v>
      </c>
      <c r="H25" s="11">
        <v>175.13821138211381</v>
      </c>
      <c r="I25" s="11">
        <v>0.63541666666666674</v>
      </c>
      <c r="J25" s="11">
        <v>0.38481012658227848</v>
      </c>
      <c r="K25" s="11">
        <v>0.43187660668380501</v>
      </c>
      <c r="L25" s="11">
        <v>0.39477124183006534</v>
      </c>
      <c r="M25" s="11">
        <v>0.6608478802992519</v>
      </c>
      <c r="N25" s="11">
        <v>5.9790340696368389</v>
      </c>
      <c r="O25" s="11">
        <v>0.83289953149401352</v>
      </c>
      <c r="P25" s="12">
        <v>0.41645885286783041</v>
      </c>
      <c r="Q25" s="12"/>
      <c r="S25" s="13">
        <v>23</v>
      </c>
      <c r="T25" s="18">
        <f t="shared" si="0"/>
        <v>21405.30571768685</v>
      </c>
      <c r="U25" s="18">
        <f t="shared" si="1"/>
        <v>77.660311252342538</v>
      </c>
      <c r="V25" s="18">
        <f t="shared" si="2"/>
        <v>47.031303664419269</v>
      </c>
      <c r="W25" s="18">
        <f t="shared" si="3"/>
        <v>52.783745622562336</v>
      </c>
      <c r="X25" s="18">
        <f t="shared" si="4"/>
        <v>48.248746251535735</v>
      </c>
      <c r="Y25" s="18">
        <f t="shared" si="5"/>
        <v>80.768501625428001</v>
      </c>
      <c r="Z25" s="18">
        <f t="shared" si="6"/>
        <v>730.75459174246373</v>
      </c>
      <c r="AA25" s="18">
        <f t="shared" si="7"/>
        <v>101.79656948105763</v>
      </c>
      <c r="AB25" s="18">
        <f t="shared" si="8"/>
        <v>50.899395363948962</v>
      </c>
      <c r="AC25" s="18">
        <v>7.4683748970211195</v>
      </c>
      <c r="AD25" s="18">
        <v>7.0834071188241552</v>
      </c>
      <c r="AE25" s="18"/>
      <c r="AH25" s="22">
        <f t="shared" si="21"/>
        <v>1</v>
      </c>
      <c r="AI25" s="22">
        <f t="shared" si="22"/>
        <v>2.5662078729922944</v>
      </c>
      <c r="AJ25" s="22">
        <f t="shared" si="23"/>
        <v>2.1971797219209108</v>
      </c>
      <c r="AK25" s="22">
        <f t="shared" si="15"/>
        <v>1.4898259369691889</v>
      </c>
      <c r="AL25" s="22">
        <f t="shared" si="24"/>
        <v>4.6691148839073291</v>
      </c>
      <c r="AM25" s="22">
        <f t="shared" si="25"/>
        <v>3.0395975678357421</v>
      </c>
      <c r="AN25" s="22">
        <f t="shared" si="26"/>
        <v>1.9800589106298956</v>
      </c>
      <c r="AO25" s="22">
        <f t="shared" si="27"/>
        <v>27.582885793697393</v>
      </c>
      <c r="AP25" s="22">
        <f t="shared" si="28"/>
        <v>766.20799068463225</v>
      </c>
    </row>
    <row r="26" spans="1:42" ht="14.5" x14ac:dyDescent="0.35">
      <c r="A26" s="14">
        <v>24</v>
      </c>
      <c r="B26" s="16">
        <v>51</v>
      </c>
      <c r="C26" s="16">
        <v>48</v>
      </c>
      <c r="D26" s="16">
        <v>7.9997999999999996</v>
      </c>
      <c r="E26" s="16">
        <f t="shared" si="10"/>
        <v>6.3751593789844749</v>
      </c>
      <c r="F26" s="16">
        <f t="shared" si="11"/>
        <v>6.0001500037500941</v>
      </c>
      <c r="G26" s="10">
        <v>0.44890000000000002</v>
      </c>
      <c r="H26" s="11">
        <v>159.64227642276424</v>
      </c>
      <c r="I26" s="11">
        <v>0.65138888888888891</v>
      </c>
      <c r="J26" s="11">
        <v>0.34810126582278483</v>
      </c>
      <c r="K26" s="11">
        <v>0.44473007712082274</v>
      </c>
      <c r="L26" s="11">
        <v>0.37124183006535943</v>
      </c>
      <c r="M26" s="11">
        <v>0.62551953449709052</v>
      </c>
      <c r="N26" s="11">
        <v>6.5181579932609504</v>
      </c>
      <c r="O26" s="11">
        <v>0.80166579906298796</v>
      </c>
      <c r="P26" s="12">
        <v>0.56109725685785539</v>
      </c>
      <c r="Q26" s="12"/>
      <c r="S26" s="13">
        <v>24</v>
      </c>
      <c r="T26" s="18">
        <f t="shared" si="0"/>
        <v>17781.49659420408</v>
      </c>
      <c r="U26" s="18">
        <f t="shared" si="1"/>
        <v>72.553897180762846</v>
      </c>
      <c r="V26" s="18">
        <f t="shared" si="2"/>
        <v>38.77269612639617</v>
      </c>
      <c r="W26" s="18">
        <f t="shared" si="3"/>
        <v>49.53553988870825</v>
      </c>
      <c r="X26" s="18">
        <f t="shared" si="4"/>
        <v>41.350170423853797</v>
      </c>
      <c r="Y26" s="18">
        <f t="shared" si="5"/>
        <v>69.67248100880937</v>
      </c>
      <c r="Z26" s="18">
        <f t="shared" si="6"/>
        <v>726.01447908898979</v>
      </c>
      <c r="AA26" s="18">
        <f t="shared" si="7"/>
        <v>89.292247612273101</v>
      </c>
      <c r="AB26" s="18">
        <f t="shared" si="8"/>
        <v>62.496909875011738</v>
      </c>
      <c r="AC26" s="18">
        <v>6.3751593789844749</v>
      </c>
      <c r="AD26" s="18">
        <v>6.0001500037500941</v>
      </c>
      <c r="AE26" s="18"/>
      <c r="AH26" s="22">
        <f t="shared" si="21"/>
        <v>1</v>
      </c>
      <c r="AI26" s="22">
        <f t="shared" si="22"/>
        <v>2.8860681061994971</v>
      </c>
      <c r="AJ26" s="22">
        <f t="shared" si="23"/>
        <v>2.1805080309738503</v>
      </c>
      <c r="AK26" s="22">
        <f t="shared" si="15"/>
        <v>1.6830822904889557</v>
      </c>
      <c r="AL26" s="22">
        <f t="shared" si="24"/>
        <v>4.8170256083692387</v>
      </c>
      <c r="AM26" s="22">
        <f t="shared" si="25"/>
        <v>3.1563740345837608</v>
      </c>
      <c r="AN26" s="22">
        <f t="shared" si="26"/>
        <v>2.3681268651417611</v>
      </c>
      <c r="AO26" s="22">
        <f t="shared" si="27"/>
        <v>29.125503211017293</v>
      </c>
      <c r="AP26" s="25"/>
    </row>
    <row r="27" spans="1:42" ht="14.5" x14ac:dyDescent="0.35">
      <c r="A27" s="14">
        <v>25</v>
      </c>
      <c r="B27" s="16">
        <v>77</v>
      </c>
      <c r="C27" s="16">
        <v>71</v>
      </c>
      <c r="D27" s="16">
        <v>13.028</v>
      </c>
      <c r="E27" s="16">
        <f t="shared" si="10"/>
        <v>5.9103469450414492</v>
      </c>
      <c r="F27" s="16">
        <f t="shared" si="11"/>
        <v>5.449800429843414</v>
      </c>
      <c r="G27" s="10">
        <v>0.40229999999999999</v>
      </c>
      <c r="H27" s="11">
        <v>78.536585365853668</v>
      </c>
      <c r="I27" s="11">
        <v>0.82430555555555562</v>
      </c>
      <c r="J27" s="11">
        <v>0.4531645569620254</v>
      </c>
      <c r="K27" s="11">
        <v>0.18508997429305912</v>
      </c>
      <c r="L27" s="11">
        <v>0.33986928104575165</v>
      </c>
      <c r="M27" s="11">
        <v>0.51122194513715713</v>
      </c>
      <c r="N27" s="11">
        <v>3.9598153001372762</v>
      </c>
      <c r="O27" s="11">
        <v>0.94221759500260283</v>
      </c>
      <c r="P27" s="12">
        <v>0.10509440684004275</v>
      </c>
      <c r="Q27" s="12"/>
      <c r="S27" s="13">
        <v>25</v>
      </c>
      <c r="T27" s="18">
        <f t="shared" si="0"/>
        <v>9760.9477213340379</v>
      </c>
      <c r="U27" s="18">
        <f t="shared" si="1"/>
        <v>102.44911205015605</v>
      </c>
      <c r="V27" s="18">
        <f t="shared" si="2"/>
        <v>56.321719731795355</v>
      </c>
      <c r="W27" s="18">
        <f t="shared" si="3"/>
        <v>23.003973936497527</v>
      </c>
      <c r="X27" s="18">
        <f t="shared" si="4"/>
        <v>42.240775670612933</v>
      </c>
      <c r="Y27" s="18">
        <f t="shared" si="5"/>
        <v>63.537403074466461</v>
      </c>
      <c r="Z27" s="18">
        <f t="shared" si="6"/>
        <v>492.14706688258474</v>
      </c>
      <c r="AA27" s="18">
        <f t="shared" si="7"/>
        <v>117.10385222503142</v>
      </c>
      <c r="AB27" s="18">
        <f t="shared" si="8"/>
        <v>13.06169610241645</v>
      </c>
      <c r="AC27" s="18">
        <v>5.9103469450414492</v>
      </c>
      <c r="AD27" s="18">
        <v>5.449800429843414</v>
      </c>
      <c r="AE27" s="18"/>
      <c r="AH27" s="22">
        <f t="shared" si="21"/>
        <v>1</v>
      </c>
      <c r="AI27" s="22">
        <f t="shared" si="22"/>
        <v>7.4238699102829528</v>
      </c>
      <c r="AJ27" s="22">
        <f t="shared" si="23"/>
        <v>5.7701077128705087</v>
      </c>
      <c r="AK27" s="22">
        <f t="shared" si="15"/>
        <v>1.4238611505851919</v>
      </c>
      <c r="AL27" s="22">
        <f t="shared" si="24"/>
        <v>8.9641653762954459</v>
      </c>
      <c r="AM27" s="22">
        <f t="shared" si="25"/>
        <v>5.2436412419606606</v>
      </c>
      <c r="AN27" s="22">
        <f t="shared" si="26"/>
        <v>2.9243604918405102</v>
      </c>
      <c r="AO27" s="22">
        <f t="shared" si="27"/>
        <v>69.583647233422013</v>
      </c>
      <c r="AP27" s="22">
        <f t="shared" si="28"/>
        <v>431.18443662115538</v>
      </c>
    </row>
    <row r="28" spans="1:42" ht="14.5" x14ac:dyDescent="0.35">
      <c r="A28" s="14">
        <v>26</v>
      </c>
      <c r="B28" s="16">
        <v>156</v>
      </c>
      <c r="C28" s="16">
        <v>152</v>
      </c>
      <c r="D28" s="16">
        <v>13.501099999999999</v>
      </c>
      <c r="E28" s="16">
        <f t="shared" si="10"/>
        <v>11.554614068483309</v>
      </c>
      <c r="F28" s="16">
        <f t="shared" si="11"/>
        <v>11.258341912881173</v>
      </c>
      <c r="G28" s="10">
        <v>0.4017</v>
      </c>
      <c r="H28" s="11">
        <v>82.8130081300813</v>
      </c>
      <c r="I28" s="11">
        <v>1.8329861111111114</v>
      </c>
      <c r="J28" s="11">
        <v>0.42278481012658226</v>
      </c>
      <c r="K28" s="11">
        <v>0.26735218508997433</v>
      </c>
      <c r="L28" s="11">
        <v>0.28758169934640521</v>
      </c>
      <c r="M28" s="11">
        <v>0.57148794679966741</v>
      </c>
      <c r="N28" s="11">
        <v>3.1873206040184692</v>
      </c>
      <c r="O28" s="11">
        <v>1.2233211868818323</v>
      </c>
      <c r="P28" s="12">
        <v>7.9800498753117205E-2</v>
      </c>
      <c r="Q28" s="12"/>
      <c r="S28" s="13">
        <v>26</v>
      </c>
      <c r="T28" s="18">
        <f t="shared" si="0"/>
        <v>10307.8177906499</v>
      </c>
      <c r="U28" s="18">
        <f t="shared" si="1"/>
        <v>228.1536110419606</v>
      </c>
      <c r="V28" s="18">
        <f t="shared" si="2"/>
        <v>52.624447364523554</v>
      </c>
      <c r="W28" s="18">
        <f t="shared" si="3"/>
        <v>33.277593364447888</v>
      </c>
      <c r="X28" s="18">
        <f t="shared" si="4"/>
        <v>35.795581198208268</v>
      </c>
      <c r="Y28" s="18">
        <f t="shared" si="5"/>
        <v>71.133675230229954</v>
      </c>
      <c r="Z28" s="18">
        <f t="shared" si="6"/>
        <v>396.72897734857719</v>
      </c>
      <c r="AA28" s="18">
        <f t="shared" si="7"/>
        <v>152.26800932061641</v>
      </c>
      <c r="AB28" s="18">
        <f t="shared" si="8"/>
        <v>9.9328477412393834</v>
      </c>
      <c r="AC28" s="18">
        <v>11.554614068483309</v>
      </c>
      <c r="AD28" s="18">
        <v>11.258341912881173</v>
      </c>
      <c r="AE28" s="18"/>
      <c r="AH28" s="22">
        <f t="shared" si="21"/>
        <v>1</v>
      </c>
      <c r="AI28" s="22">
        <f t="shared" si="22"/>
        <v>15.655781628378826</v>
      </c>
      <c r="AJ28" s="22">
        <f t="shared" si="23"/>
        <v>5.1052946834448862</v>
      </c>
      <c r="AK28" s="22">
        <f t="shared" si="15"/>
        <v>1.9504819609757234</v>
      </c>
      <c r="AL28" s="22">
        <f t="shared" si="24"/>
        <v>7.1933741099031421</v>
      </c>
      <c r="AM28" s="22">
        <f t="shared" si="25"/>
        <v>5.5590939258525154</v>
      </c>
      <c r="AN28" s="22">
        <f t="shared" si="26"/>
        <v>2.2323134880294289</v>
      </c>
      <c r="AO28" s="22">
        <f t="shared" si="27"/>
        <v>85.678120432112621</v>
      </c>
      <c r="AP28" s="22">
        <f t="shared" si="28"/>
        <v>310.50066436761688</v>
      </c>
    </row>
    <row r="29" spans="1:42" ht="14.5" x14ac:dyDescent="0.35">
      <c r="A29" s="14">
        <v>27</v>
      </c>
      <c r="B29" s="16">
        <v>47</v>
      </c>
      <c r="C29" s="16">
        <v>44</v>
      </c>
      <c r="D29" s="16">
        <v>13.614599999999999</v>
      </c>
      <c r="E29" s="16">
        <f t="shared" si="10"/>
        <v>3.452176340105475</v>
      </c>
      <c r="F29" s="16">
        <f t="shared" si="11"/>
        <v>3.2318246588221471</v>
      </c>
      <c r="G29" s="10">
        <v>0.42530000000000001</v>
      </c>
      <c r="H29" s="11">
        <v>47.268292682926834</v>
      </c>
      <c r="I29" s="11">
        <v>0.76458333333333339</v>
      </c>
      <c r="J29" s="11">
        <v>0.34050632911392403</v>
      </c>
      <c r="K29" s="11">
        <v>0.16709511568123395</v>
      </c>
      <c r="L29" s="11">
        <v>0.25098039215686274</v>
      </c>
      <c r="M29" s="11">
        <v>0.3886118038237738</v>
      </c>
      <c r="N29" s="11">
        <v>1.7771121926868836</v>
      </c>
      <c r="O29" s="11">
        <v>0.74440395627277456</v>
      </c>
      <c r="P29" s="12">
        <v>6.3769148557178482E-2</v>
      </c>
      <c r="Q29" s="12"/>
      <c r="S29" s="13">
        <v>27</v>
      </c>
      <c r="T29" s="18">
        <f t="shared" si="0"/>
        <v>5557.0529841202479</v>
      </c>
      <c r="U29" s="18">
        <f t="shared" si="1"/>
        <v>89.887530370718721</v>
      </c>
      <c r="V29" s="18">
        <f t="shared" si="2"/>
        <v>40.031310735236779</v>
      </c>
      <c r="W29" s="18">
        <f t="shared" si="3"/>
        <v>19.644382280888074</v>
      </c>
      <c r="X29" s="18">
        <f t="shared" si="4"/>
        <v>29.506276999396043</v>
      </c>
      <c r="Y29" s="18">
        <f t="shared" si="5"/>
        <v>45.686786247798473</v>
      </c>
      <c r="Z29" s="18">
        <f t="shared" si="6"/>
        <v>208.92454651856141</v>
      </c>
      <c r="AA29" s="18">
        <f t="shared" si="7"/>
        <v>87.515160624591402</v>
      </c>
      <c r="AB29" s="18">
        <f t="shared" si="8"/>
        <v>7.4969607991039826</v>
      </c>
      <c r="AC29" s="18">
        <v>3.452176340105475</v>
      </c>
      <c r="AD29" s="18">
        <v>3.2318246588221471</v>
      </c>
      <c r="AE29" s="18"/>
      <c r="AH29" s="22">
        <f t="shared" si="21"/>
        <v>1</v>
      </c>
      <c r="AI29" s="22">
        <f t="shared" si="22"/>
        <v>11.441133470932236</v>
      </c>
      <c r="AJ29" s="22">
        <f t="shared" si="23"/>
        <v>7.2036942691800236</v>
      </c>
      <c r="AK29" s="22">
        <f t="shared" si="15"/>
        <v>2.1357509088513411</v>
      </c>
      <c r="AL29" s="22">
        <f t="shared" si="24"/>
        <v>10.998661590539209</v>
      </c>
      <c r="AM29" s="22">
        <f t="shared" si="25"/>
        <v>6.6227989156413702</v>
      </c>
      <c r="AN29" s="22">
        <f t="shared" si="26"/>
        <v>2.1805845171359177</v>
      </c>
      <c r="AO29" s="22">
        <f t="shared" si="27"/>
        <v>91.341207843996784</v>
      </c>
      <c r="AP29" s="22">
        <f t="shared" si="28"/>
        <v>434.70655678526094</v>
      </c>
    </row>
    <row r="30" spans="1:42" ht="14.5" x14ac:dyDescent="0.35">
      <c r="A30" s="14">
        <v>28</v>
      </c>
      <c r="B30" s="16">
        <v>92</v>
      </c>
      <c r="C30" s="16">
        <v>84</v>
      </c>
      <c r="D30" s="16">
        <v>13.3781</v>
      </c>
      <c r="E30" s="16">
        <f t="shared" si="10"/>
        <v>6.8769107720827325</v>
      </c>
      <c r="F30" s="16">
        <f t="shared" si="11"/>
        <v>6.2789185310320601</v>
      </c>
      <c r="G30" s="10">
        <v>0.41299999999999998</v>
      </c>
      <c r="H30" s="11">
        <v>67.674796747967477</v>
      </c>
      <c r="I30" s="11">
        <v>0.65104166666666674</v>
      </c>
      <c r="J30" s="11">
        <v>0.34177215189873417</v>
      </c>
      <c r="K30" s="11">
        <v>0.29048843187660667</v>
      </c>
      <c r="L30" s="11">
        <v>0.2745098039215686</v>
      </c>
      <c r="M30" s="11">
        <v>0.5631753948462177</v>
      </c>
      <c r="N30" s="11">
        <v>4.5563459378509918</v>
      </c>
      <c r="O30" s="11">
        <v>0.5517959396147839</v>
      </c>
      <c r="P30" s="12">
        <v>0.12433202707516922</v>
      </c>
      <c r="Q30" s="12"/>
      <c r="S30" s="13">
        <v>28</v>
      </c>
      <c r="T30" s="18">
        <f t="shared" si="0"/>
        <v>8193.07466682415</v>
      </c>
      <c r="U30" s="18">
        <f t="shared" si="1"/>
        <v>78.818603712671518</v>
      </c>
      <c r="V30" s="18">
        <f t="shared" si="2"/>
        <v>41.376773837619147</v>
      </c>
      <c r="W30" s="18">
        <f t="shared" si="3"/>
        <v>35.168091026223564</v>
      </c>
      <c r="X30" s="18">
        <f t="shared" si="4"/>
        <v>33.23363243602526</v>
      </c>
      <c r="Y30" s="18">
        <f t="shared" si="5"/>
        <v>68.181040538283014</v>
      </c>
      <c r="Z30" s="18">
        <f t="shared" si="6"/>
        <v>551.61573097469636</v>
      </c>
      <c r="AA30" s="18">
        <f t="shared" si="7"/>
        <v>66.803382519949622</v>
      </c>
      <c r="AB30" s="18">
        <f t="shared" si="8"/>
        <v>15.052303519996274</v>
      </c>
      <c r="AC30" s="18">
        <v>6.8769107720827325</v>
      </c>
      <c r="AD30" s="18">
        <v>6.2789185310320601</v>
      </c>
      <c r="AE30" s="18"/>
      <c r="AH30" s="22">
        <f t="shared" si="21"/>
        <v>1</v>
      </c>
      <c r="AI30" s="22">
        <f t="shared" si="22"/>
        <v>6.8044960355598292</v>
      </c>
      <c r="AJ30" s="22">
        <f t="shared" si="23"/>
        <v>5.0502132008102238</v>
      </c>
      <c r="AK30" s="22">
        <f t="shared" si="15"/>
        <v>2.5933351266014335</v>
      </c>
      <c r="AL30" s="22">
        <f t="shared" si="24"/>
        <v>8.4023518104983488</v>
      </c>
      <c r="AM30" s="22">
        <f t="shared" si="25"/>
        <v>6.7036635478951725</v>
      </c>
      <c r="AN30" s="22">
        <f t="shared" si="26"/>
        <v>3.9049701970962252</v>
      </c>
      <c r="AO30" s="22">
        <f t="shared" si="27"/>
        <v>47.29111284492874</v>
      </c>
      <c r="AP30" s="22">
        <f t="shared" si="28"/>
        <v>591.98614525218738</v>
      </c>
    </row>
    <row r="31" spans="1:42" ht="14.5" x14ac:dyDescent="0.35">
      <c r="A31" s="14">
        <v>29</v>
      </c>
      <c r="B31" s="16">
        <v>84</v>
      </c>
      <c r="C31" s="16">
        <v>79</v>
      </c>
      <c r="D31" s="16">
        <v>14.316700000000001</v>
      </c>
      <c r="E31" s="16">
        <f t="shared" si="10"/>
        <v>5.8672738829478854</v>
      </c>
      <c r="F31" s="16">
        <f t="shared" si="11"/>
        <v>5.5180313899152731</v>
      </c>
      <c r="G31" s="10">
        <v>0.42209999999999998</v>
      </c>
      <c r="H31" s="11">
        <v>84.341463414634134</v>
      </c>
      <c r="I31" s="11">
        <v>0.76180555555555562</v>
      </c>
      <c r="J31" s="11">
        <v>0.29493670886075946</v>
      </c>
      <c r="K31" s="11">
        <v>0.22107969151670953</v>
      </c>
      <c r="L31" s="11">
        <v>0.35555555555555557</v>
      </c>
      <c r="M31" s="11">
        <v>0.52992518703241887</v>
      </c>
      <c r="N31" s="11">
        <v>3.4905778110570322</v>
      </c>
      <c r="O31" s="11">
        <v>0.62467464862051014</v>
      </c>
      <c r="P31" s="12">
        <v>4.5956537228357679E-2</v>
      </c>
      <c r="Q31" s="12"/>
      <c r="S31" s="13">
        <v>29</v>
      </c>
      <c r="T31" s="18">
        <f t="shared" si="0"/>
        <v>9990.6969218945906</v>
      </c>
      <c r="U31" s="18">
        <f t="shared" si="1"/>
        <v>90.2399378767538</v>
      </c>
      <c r="V31" s="18">
        <f t="shared" si="2"/>
        <v>34.936828815536543</v>
      </c>
      <c r="W31" s="18">
        <f t="shared" si="3"/>
        <v>26.188070542135698</v>
      </c>
      <c r="X31" s="18">
        <f t="shared" si="4"/>
        <v>42.117455052778439</v>
      </c>
      <c r="Y31" s="18">
        <f t="shared" si="5"/>
        <v>62.772469442361867</v>
      </c>
      <c r="Z31" s="18">
        <f t="shared" si="6"/>
        <v>413.47758955899457</v>
      </c>
      <c r="AA31" s="18">
        <f t="shared" si="7"/>
        <v>73.996049350925162</v>
      </c>
      <c r="AB31" s="18">
        <f t="shared" si="8"/>
        <v>5.4437973499594499</v>
      </c>
      <c r="AC31" s="18">
        <v>5.8672738829478854</v>
      </c>
      <c r="AD31" s="18">
        <v>5.5180313899152731</v>
      </c>
      <c r="AE31" s="18"/>
      <c r="AH31" s="22">
        <f t="shared" si="21"/>
        <v>1</v>
      </c>
      <c r="AI31" s="22">
        <f t="shared" si="22"/>
        <v>6.388768395347344</v>
      </c>
      <c r="AJ31" s="22">
        <f t="shared" si="23"/>
        <v>3.4969361085283812</v>
      </c>
      <c r="AK31" s="22">
        <f t="shared" si="15"/>
        <v>1.5836692284398961</v>
      </c>
      <c r="AL31" s="22">
        <f t="shared" si="24"/>
        <v>8.7324538452358027</v>
      </c>
      <c r="AM31" s="22">
        <f t="shared" si="25"/>
        <v>5.0613797906749749</v>
      </c>
      <c r="AN31" s="22">
        <f t="shared" si="26"/>
        <v>2.400403133225455</v>
      </c>
      <c r="AO31" s="22">
        <f t="shared" si="27"/>
        <v>42.957672481769038</v>
      </c>
      <c r="AP31" s="22">
        <f t="shared" si="28"/>
        <v>175.57458635215374</v>
      </c>
    </row>
    <row r="32" spans="1:42" ht="14.5" x14ac:dyDescent="0.35">
      <c r="A32" s="14">
        <v>30</v>
      </c>
      <c r="B32" s="16">
        <v>122</v>
      </c>
      <c r="C32" s="16">
        <v>115</v>
      </c>
      <c r="D32" s="16">
        <v>12.3626</v>
      </c>
      <c r="E32" s="16">
        <f t="shared" si="10"/>
        <v>9.8684742691666791</v>
      </c>
      <c r="F32" s="16">
        <f t="shared" si="11"/>
        <v>9.3022503356899033</v>
      </c>
      <c r="G32" s="10">
        <v>0.40500000000000003</v>
      </c>
      <c r="H32" s="11">
        <v>133.44715447154471</v>
      </c>
      <c r="I32" s="11">
        <v>0.9628472222222223</v>
      </c>
      <c r="J32" s="11">
        <v>0.37594936708860754</v>
      </c>
      <c r="K32" s="11">
        <v>0.3470437017994859</v>
      </c>
      <c r="L32" s="11">
        <v>0.39215686274509803</v>
      </c>
      <c r="M32" s="11">
        <v>0.62759767248545295</v>
      </c>
      <c r="N32" s="11">
        <v>5.1179333582927731</v>
      </c>
      <c r="O32" s="11">
        <v>0.91618948464341488</v>
      </c>
      <c r="P32" s="12">
        <v>4.3462771642322762E-2</v>
      </c>
      <c r="Q32" s="12"/>
      <c r="S32" s="13">
        <v>30</v>
      </c>
      <c r="T32" s="18">
        <f t="shared" si="0"/>
        <v>16474.957342166013</v>
      </c>
      <c r="U32" s="18">
        <f t="shared" si="1"/>
        <v>118.87002743484224</v>
      </c>
      <c r="V32" s="18">
        <f t="shared" si="2"/>
        <v>46.413502109704638</v>
      </c>
      <c r="W32" s="18">
        <f t="shared" si="3"/>
        <v>42.844901456726653</v>
      </c>
      <c r="X32" s="18">
        <f t="shared" si="4"/>
        <v>48.414427499394819</v>
      </c>
      <c r="Y32" s="18">
        <f t="shared" si="5"/>
        <v>77.481194134006529</v>
      </c>
      <c r="Z32" s="18">
        <f t="shared" si="6"/>
        <v>631.84362448058914</v>
      </c>
      <c r="AA32" s="18">
        <f t="shared" si="7"/>
        <v>113.10981291894009</v>
      </c>
      <c r="AB32" s="18">
        <f t="shared" si="8"/>
        <v>5.3657742768299705</v>
      </c>
      <c r="AC32" s="18">
        <v>9.8684742691666791</v>
      </c>
      <c r="AD32" s="18">
        <v>9.3022503356899033</v>
      </c>
      <c r="AE32" s="18"/>
      <c r="AH32" s="22">
        <f t="shared" si="21"/>
        <v>1</v>
      </c>
      <c r="AI32" s="22">
        <f t="shared" si="22"/>
        <v>5.1034305064782099</v>
      </c>
      <c r="AJ32" s="22">
        <f t="shared" si="23"/>
        <v>2.8172153132629907</v>
      </c>
      <c r="AK32" s="22">
        <f t="shared" si="15"/>
        <v>1.571200505055093</v>
      </c>
      <c r="AL32" s="22">
        <f t="shared" si="24"/>
        <v>6.08724054993022</v>
      </c>
      <c r="AM32" s="22">
        <f t="shared" si="25"/>
        <v>3.7885018509869806</v>
      </c>
      <c r="AN32" s="22">
        <f t="shared" si="26"/>
        <v>2.224402130989438</v>
      </c>
      <c r="AO32" s="22">
        <f t="shared" si="27"/>
        <v>39.820249685915201</v>
      </c>
      <c r="AP32" s="22">
        <f t="shared" si="28"/>
        <v>104.94544389489008</v>
      </c>
    </row>
    <row r="33" spans="1:42" ht="14.5" x14ac:dyDescent="0.35">
      <c r="A33" s="14">
        <v>31</v>
      </c>
      <c r="B33" s="16">
        <v>52</v>
      </c>
      <c r="C33" s="16">
        <v>49</v>
      </c>
      <c r="D33" s="16">
        <v>13.3559</v>
      </c>
      <c r="E33" s="16">
        <f t="shared" si="10"/>
        <v>3.8934104028931036</v>
      </c>
      <c r="F33" s="16">
        <f t="shared" si="11"/>
        <v>3.6687905719569627</v>
      </c>
      <c r="G33" s="10">
        <v>0.42799999999999999</v>
      </c>
      <c r="H33" s="11">
        <v>14.76422764227642</v>
      </c>
      <c r="I33" s="11">
        <v>0.69201388888888893</v>
      </c>
      <c r="J33" s="11">
        <v>0.28354430379746837</v>
      </c>
      <c r="K33" s="11">
        <v>0.13367609254498716</v>
      </c>
      <c r="L33" s="11">
        <v>0.17777777777777778</v>
      </c>
      <c r="M33" s="11">
        <v>0.29717373233582711</v>
      </c>
      <c r="N33" s="11">
        <v>3.0238362660676401</v>
      </c>
      <c r="O33" s="11">
        <v>0.61426340447683492</v>
      </c>
      <c r="P33" s="12">
        <v>6.5550409690060554E-2</v>
      </c>
      <c r="Q33" s="12"/>
      <c r="S33" s="13">
        <v>31</v>
      </c>
      <c r="T33" s="18">
        <f t="shared" si="0"/>
        <v>1724.792948864068</v>
      </c>
      <c r="U33" s="18">
        <f t="shared" si="1"/>
        <v>80.842744029075803</v>
      </c>
      <c r="V33" s="18">
        <f t="shared" si="2"/>
        <v>33.124334555779015</v>
      </c>
      <c r="W33" s="18">
        <f t="shared" si="3"/>
        <v>15.616365951517194</v>
      </c>
      <c r="X33" s="18">
        <f t="shared" si="4"/>
        <v>20.768431983385256</v>
      </c>
      <c r="Y33" s="18">
        <f t="shared" si="5"/>
        <v>34.716557515867656</v>
      </c>
      <c r="Z33" s="18">
        <f t="shared" si="6"/>
        <v>353.25190024154671</v>
      </c>
      <c r="AA33" s="18">
        <f t="shared" si="7"/>
        <v>71.759743513648942</v>
      </c>
      <c r="AB33" s="18">
        <f t="shared" si="8"/>
        <v>7.6577581413622147</v>
      </c>
      <c r="AC33" s="18">
        <v>3.8934104028931036</v>
      </c>
      <c r="AD33" s="18">
        <v>3.6687905719569627</v>
      </c>
      <c r="AE33" s="18"/>
      <c r="AH33" s="22">
        <f t="shared" si="21"/>
        <v>1</v>
      </c>
      <c r="AI33" s="22">
        <f t="shared" si="22"/>
        <v>33.152647760646111</v>
      </c>
      <c r="AJ33" s="22">
        <f t="shared" si="23"/>
        <v>19.204817933418838</v>
      </c>
      <c r="AK33" s="22">
        <f t="shared" si="15"/>
        <v>5.4701567330668288</v>
      </c>
      <c r="AL33" s="22">
        <f t="shared" si="24"/>
        <v>24.942311726452701</v>
      </c>
      <c r="AM33" s="22">
        <f t="shared" si="25"/>
        <v>16.21418721307354</v>
      </c>
      <c r="AN33" s="22">
        <f t="shared" si="26"/>
        <v>11.878881014386863</v>
      </c>
      <c r="AO33" s="22">
        <f t="shared" si="27"/>
        <v>241.30810173665972</v>
      </c>
      <c r="AP33" s="25"/>
    </row>
    <row r="34" spans="1:42" ht="14.5" x14ac:dyDescent="0.35">
      <c r="A34" s="14">
        <v>32</v>
      </c>
      <c r="B34" s="16">
        <v>184</v>
      </c>
      <c r="C34" s="16">
        <v>181</v>
      </c>
      <c r="D34" s="16">
        <v>14.5617</v>
      </c>
      <c r="E34" s="16">
        <f t="shared" si="10"/>
        <v>12.635887293379207</v>
      </c>
      <c r="F34" s="16">
        <f t="shared" si="11"/>
        <v>12.429867391856719</v>
      </c>
      <c r="G34" s="10">
        <v>0.40039999999999998</v>
      </c>
      <c r="H34" s="11">
        <v>91.674796747967477</v>
      </c>
      <c r="I34" s="11">
        <v>1.1184027777777779</v>
      </c>
      <c r="J34" s="11">
        <v>0.36708860759493667</v>
      </c>
      <c r="K34" s="11">
        <v>0.33933161953727509</v>
      </c>
      <c r="L34" s="11">
        <v>0.29281045751633988</v>
      </c>
      <c r="M34" s="11">
        <v>0.60681629260182868</v>
      </c>
      <c r="N34" s="11">
        <v>3.1798327717459123</v>
      </c>
      <c r="O34" s="11">
        <v>1.0307131702238417</v>
      </c>
      <c r="P34" s="12">
        <v>4.9162807267545419E-2</v>
      </c>
      <c r="Q34" s="12"/>
      <c r="S34" s="13">
        <v>32</v>
      </c>
      <c r="T34" s="18">
        <f t="shared" si="0"/>
        <v>11447.901691804132</v>
      </c>
      <c r="U34" s="18">
        <f t="shared" si="1"/>
        <v>139.66068653568655</v>
      </c>
      <c r="V34" s="18">
        <f t="shared" si="2"/>
        <v>45.840235713653435</v>
      </c>
      <c r="W34" s="18">
        <f t="shared" si="3"/>
        <v>42.37407836379559</v>
      </c>
      <c r="X34" s="18">
        <f t="shared" si="4"/>
        <v>36.564742447095391</v>
      </c>
      <c r="Y34" s="18">
        <f t="shared" si="5"/>
        <v>75.776260314913671</v>
      </c>
      <c r="Z34" s="18">
        <f t="shared" si="6"/>
        <v>397.08201445378529</v>
      </c>
      <c r="AA34" s="18">
        <f t="shared" si="7"/>
        <v>128.71043584213808</v>
      </c>
      <c r="AB34" s="18">
        <f t="shared" si="8"/>
        <v>6.1392116967464316</v>
      </c>
      <c r="AC34" s="18">
        <v>12.635887293379207</v>
      </c>
      <c r="AD34" s="18">
        <v>12.429867391856719</v>
      </c>
      <c r="AE34" s="18"/>
      <c r="AH34" s="22">
        <f t="shared" si="21"/>
        <v>1</v>
      </c>
      <c r="AI34" s="22">
        <f t="shared" si="22"/>
        <v>8.6290388140002374</v>
      </c>
      <c r="AJ34" s="22">
        <f t="shared" si="23"/>
        <v>4.0042478480114587</v>
      </c>
      <c r="AK34" s="22">
        <f t="shared" si="15"/>
        <v>2.2363055140886621</v>
      </c>
      <c r="AL34" s="22">
        <f t="shared" si="24"/>
        <v>6.6161689933156662</v>
      </c>
      <c r="AM34" s="22">
        <f t="shared" si="25"/>
        <v>5.3321551074817775</v>
      </c>
      <c r="AN34" s="22">
        <f t="shared" si="26"/>
        <v>2.0117884882613812</v>
      </c>
      <c r="AO34" s="22">
        <f t="shared" si="27"/>
        <v>65.210249701817006</v>
      </c>
      <c r="AP34" s="22">
        <f t="shared" si="28"/>
        <v>172.79939056731556</v>
      </c>
    </row>
    <row r="35" spans="1:42" ht="14.5" x14ac:dyDescent="0.35">
      <c r="A35" s="14">
        <v>33</v>
      </c>
      <c r="B35" s="16">
        <v>52</v>
      </c>
      <c r="C35" s="16">
        <v>50</v>
      </c>
      <c r="D35" s="16">
        <v>13.7218</v>
      </c>
      <c r="E35" s="16">
        <f t="shared" si="10"/>
        <v>3.7895902869885876</v>
      </c>
      <c r="F35" s="16">
        <f t="shared" si="11"/>
        <v>3.6438368144121034</v>
      </c>
      <c r="G35" s="10">
        <v>0.42699999999999999</v>
      </c>
      <c r="H35" s="11">
        <v>35.934959349593498</v>
      </c>
      <c r="I35" s="11">
        <v>1.2013888888888888</v>
      </c>
      <c r="J35" s="11">
        <v>0.19240506329113924</v>
      </c>
      <c r="K35" s="11">
        <v>0.39845758354755789</v>
      </c>
      <c r="L35" s="11">
        <v>0.19869281045751636</v>
      </c>
      <c r="M35" s="11">
        <v>0.41147132169576056</v>
      </c>
      <c r="N35" s="11">
        <v>1.3191064520154747</v>
      </c>
      <c r="O35" s="11">
        <v>0.62988027069234764</v>
      </c>
      <c r="P35" s="12">
        <v>8.1581759885999292E-2</v>
      </c>
      <c r="Q35" s="12"/>
      <c r="S35" s="13">
        <v>33</v>
      </c>
      <c r="T35" s="18">
        <f t="shared" si="0"/>
        <v>4207.8406732545081</v>
      </c>
      <c r="U35" s="18">
        <f t="shared" si="1"/>
        <v>140.67785584179026</v>
      </c>
      <c r="V35" s="18">
        <f t="shared" si="2"/>
        <v>22.529866895917944</v>
      </c>
      <c r="W35" s="18">
        <f t="shared" si="3"/>
        <v>46.657796668332303</v>
      </c>
      <c r="X35" s="18">
        <f t="shared" si="4"/>
        <v>23.266137055915262</v>
      </c>
      <c r="Y35" s="18">
        <f t="shared" si="5"/>
        <v>48.181653594351353</v>
      </c>
      <c r="Z35" s="18">
        <f t="shared" si="6"/>
        <v>154.46211381914225</v>
      </c>
      <c r="AA35" s="18">
        <f t="shared" si="7"/>
        <v>73.756471978026653</v>
      </c>
      <c r="AB35" s="18">
        <f t="shared" si="8"/>
        <v>9.5528992840748579</v>
      </c>
      <c r="AC35" s="18">
        <v>3.7895902869885876</v>
      </c>
      <c r="AD35" s="18">
        <v>3.6438368144121034</v>
      </c>
      <c r="AE35" s="18"/>
      <c r="AH35" s="22">
        <f t="shared" si="21"/>
        <v>1</v>
      </c>
      <c r="AI35" s="22">
        <f t="shared" si="22"/>
        <v>23.647247360482652</v>
      </c>
      <c r="AJ35" s="22">
        <f t="shared" si="23"/>
        <v>5.3542585485995762</v>
      </c>
      <c r="AK35" s="22">
        <f t="shared" si="15"/>
        <v>6.6991808093615139</v>
      </c>
      <c r="AL35" s="22">
        <f t="shared" si="24"/>
        <v>11.453413944763426</v>
      </c>
      <c r="AM35" s="22">
        <f t="shared" si="25"/>
        <v>9.2239706164453104</v>
      </c>
      <c r="AN35" s="22">
        <f t="shared" si="26"/>
        <v>2.1290736263978274</v>
      </c>
      <c r="AO35" s="22">
        <f t="shared" si="27"/>
        <v>101.66438577192775</v>
      </c>
      <c r="AP35" s="22">
        <f t="shared" si="28"/>
        <v>731.52875191895282</v>
      </c>
    </row>
    <row r="36" spans="1:42" ht="14.5" x14ac:dyDescent="0.35">
      <c r="A36" s="14">
        <v>34</v>
      </c>
      <c r="B36" s="16">
        <v>140</v>
      </c>
      <c r="C36" s="16">
        <v>139</v>
      </c>
      <c r="D36" s="16">
        <v>13.6822</v>
      </c>
      <c r="E36" s="16">
        <f t="shared" si="10"/>
        <v>10.232272587741738</v>
      </c>
      <c r="F36" s="16">
        <f t="shared" si="11"/>
        <v>10.159184926400725</v>
      </c>
      <c r="G36" s="10">
        <v>0.41170000000000001</v>
      </c>
      <c r="H36" s="11">
        <v>82.211382113821131</v>
      </c>
      <c r="I36" s="11">
        <v>0.99861111111111123</v>
      </c>
      <c r="J36" s="11">
        <v>0.33670886075949363</v>
      </c>
      <c r="K36" s="11">
        <v>0.37789203084832906</v>
      </c>
      <c r="L36" s="11">
        <v>0.2745098039215686</v>
      </c>
      <c r="M36" s="11">
        <v>0.58811305070656683</v>
      </c>
      <c r="N36" s="11">
        <v>3.1062024210657682</v>
      </c>
      <c r="O36" s="11">
        <v>1.0775637688703799</v>
      </c>
      <c r="P36" s="12">
        <v>5.2012825080156748E-2</v>
      </c>
      <c r="Q36" s="12"/>
      <c r="S36" s="13">
        <v>34</v>
      </c>
      <c r="T36" s="18">
        <f t="shared" si="0"/>
        <v>9984.3796591961527</v>
      </c>
      <c r="U36" s="18">
        <f t="shared" si="1"/>
        <v>121.27897876015439</v>
      </c>
      <c r="V36" s="18">
        <f t="shared" si="2"/>
        <v>40.892501913953559</v>
      </c>
      <c r="W36" s="18">
        <f t="shared" si="3"/>
        <v>45.894101390372725</v>
      </c>
      <c r="X36" s="18">
        <f t="shared" si="4"/>
        <v>33.338572251830044</v>
      </c>
      <c r="Y36" s="18">
        <f t="shared" si="5"/>
        <v>71.424951506748471</v>
      </c>
      <c r="Z36" s="18">
        <f t="shared" si="6"/>
        <v>377.24100328707408</v>
      </c>
      <c r="AA36" s="18">
        <f t="shared" si="7"/>
        <v>130.86759398474373</v>
      </c>
      <c r="AB36" s="18">
        <f t="shared" si="8"/>
        <v>6.3168356910561991</v>
      </c>
      <c r="AC36" s="18">
        <v>10.232272587741738</v>
      </c>
      <c r="AD36" s="18">
        <v>10.159184926400725</v>
      </c>
      <c r="AE36" s="18"/>
      <c r="AH36" s="22">
        <f t="shared" si="21"/>
        <v>1</v>
      </c>
      <c r="AI36" s="22">
        <f t="shared" si="22"/>
        <v>8.5916897415611846</v>
      </c>
      <c r="AJ36" s="22">
        <f t="shared" si="23"/>
        <v>4.0956477327351388</v>
      </c>
      <c r="AK36" s="22">
        <f t="shared" si="15"/>
        <v>2.7771065607611214</v>
      </c>
      <c r="AL36" s="22">
        <f t="shared" si="24"/>
        <v>6.9166511541325395</v>
      </c>
      <c r="AM36" s="22">
        <f t="shared" si="25"/>
        <v>5.7626781488174794</v>
      </c>
      <c r="AN36" s="22">
        <f t="shared" si="26"/>
        <v>2.1914208931846511</v>
      </c>
      <c r="AO36" s="22">
        <f t="shared" si="27"/>
        <v>76.021953393208975</v>
      </c>
      <c r="AP36" s="22">
        <f t="shared" si="28"/>
        <v>203.86092108487074</v>
      </c>
    </row>
    <row r="37" spans="1:42" ht="14.5" x14ac:dyDescent="0.35">
      <c r="A37" s="14">
        <v>35</v>
      </c>
      <c r="B37" s="16">
        <v>105</v>
      </c>
      <c r="C37" s="16">
        <v>100</v>
      </c>
      <c r="D37" s="16">
        <v>14.5288</v>
      </c>
      <c r="E37" s="16">
        <f t="shared" si="10"/>
        <v>7.2270249435603766</v>
      </c>
      <c r="F37" s="16">
        <f t="shared" si="11"/>
        <v>6.8828808986289296</v>
      </c>
      <c r="G37" s="10">
        <v>0.41610000000000003</v>
      </c>
      <c r="H37" s="11">
        <v>159.10569105691056</v>
      </c>
      <c r="I37" s="11">
        <v>0.54062500000000002</v>
      </c>
      <c r="J37" s="11">
        <v>0.2189873417721519</v>
      </c>
      <c r="K37" s="11">
        <v>0.48843187660668391</v>
      </c>
      <c r="L37" s="11">
        <v>0.37908496732026142</v>
      </c>
      <c r="M37" s="11">
        <v>0.62759767248545295</v>
      </c>
      <c r="N37" s="11">
        <v>5.6383377012354918</v>
      </c>
      <c r="O37" s="11">
        <v>0.74440395627277456</v>
      </c>
      <c r="P37" s="12">
        <v>3.0993943712148198E-2</v>
      </c>
      <c r="Q37" s="12"/>
      <c r="S37" s="13">
        <v>35</v>
      </c>
      <c r="T37" s="18">
        <f t="shared" si="0"/>
        <v>19118.684337528306</v>
      </c>
      <c r="U37" s="18">
        <f t="shared" si="1"/>
        <v>64.963350156212442</v>
      </c>
      <c r="V37" s="18">
        <f t="shared" si="2"/>
        <v>26.314268417706305</v>
      </c>
      <c r="W37" s="18">
        <f t="shared" si="3"/>
        <v>58.691645831132405</v>
      </c>
      <c r="X37" s="18">
        <f t="shared" si="4"/>
        <v>45.552146998349123</v>
      </c>
      <c r="Y37" s="18">
        <f t="shared" si="5"/>
        <v>75.414284124663894</v>
      </c>
      <c r="Z37" s="18">
        <f t="shared" si="6"/>
        <v>677.52195400570668</v>
      </c>
      <c r="AA37" s="18">
        <f t="shared" si="7"/>
        <v>89.450126925351412</v>
      </c>
      <c r="AB37" s="18">
        <f t="shared" si="8"/>
        <v>3.7243383456078103</v>
      </c>
      <c r="AC37" s="18">
        <v>7.2270249435603766</v>
      </c>
      <c r="AD37" s="18">
        <v>6.8828808986289296</v>
      </c>
      <c r="AE37" s="18"/>
      <c r="AH37" s="22">
        <f t="shared" si="21"/>
        <v>1</v>
      </c>
      <c r="AI37" s="22">
        <f t="shared" si="22"/>
        <v>2.403391670924885</v>
      </c>
      <c r="AJ37" s="22">
        <f t="shared" si="23"/>
        <v>1.376363977413116</v>
      </c>
      <c r="AK37" s="22">
        <f t="shared" si="15"/>
        <v>1.8547058676716504</v>
      </c>
      <c r="AL37" s="22">
        <f t="shared" si="24"/>
        <v>4.9353824309488745</v>
      </c>
      <c r="AM37" s="22">
        <f t="shared" si="25"/>
        <v>3.177540591829346</v>
      </c>
      <c r="AN37" s="22">
        <f t="shared" si="26"/>
        <v>2.0553858538893199</v>
      </c>
      <c r="AO37" s="22">
        <f t="shared" si="27"/>
        <v>27.136320000255353</v>
      </c>
      <c r="AP37" s="22">
        <f t="shared" si="28"/>
        <v>62.769202987130321</v>
      </c>
    </row>
    <row r="38" spans="1:42" ht="14.5" x14ac:dyDescent="0.35">
      <c r="A38" s="14">
        <v>36</v>
      </c>
      <c r="B38" s="16">
        <v>103</v>
      </c>
      <c r="C38" s="16">
        <v>99</v>
      </c>
      <c r="D38" s="16">
        <v>14.3353</v>
      </c>
      <c r="E38" s="16">
        <f t="shared" si="10"/>
        <v>7.18506065446834</v>
      </c>
      <c r="F38" s="16">
        <f t="shared" si="11"/>
        <v>6.9060291727414143</v>
      </c>
      <c r="G38" s="10">
        <v>0.41220000000000001</v>
      </c>
      <c r="H38" s="11">
        <v>158.84552845528455</v>
      </c>
      <c r="I38" s="11">
        <v>0.71562500000000007</v>
      </c>
      <c r="J38" s="11">
        <v>0.42405063291139244</v>
      </c>
      <c r="K38" s="11">
        <v>0.42930591259640116</v>
      </c>
      <c r="L38" s="11">
        <v>0.4392156862745098</v>
      </c>
      <c r="M38" s="11">
        <v>0.66708229426433918</v>
      </c>
      <c r="N38" s="11">
        <v>5.8392612005491067</v>
      </c>
      <c r="O38" s="11">
        <v>0.89016137428422693</v>
      </c>
      <c r="P38" s="12">
        <v>3.6337727110794436E-2</v>
      </c>
      <c r="Q38" s="12"/>
      <c r="S38" s="13">
        <v>36</v>
      </c>
      <c r="T38" s="18">
        <f t="shared" si="0"/>
        <v>19268.01655207236</v>
      </c>
      <c r="U38" s="18">
        <f t="shared" si="1"/>
        <v>86.805555555555557</v>
      </c>
      <c r="V38" s="18">
        <f t="shared" si="2"/>
        <v>51.437485797112132</v>
      </c>
      <c r="W38" s="18">
        <f t="shared" si="3"/>
        <v>52.074953007811885</v>
      </c>
      <c r="X38" s="18">
        <f t="shared" si="4"/>
        <v>53.277011920731418</v>
      </c>
      <c r="Y38" s="18">
        <f t="shared" si="5"/>
        <v>80.917308862729158</v>
      </c>
      <c r="Z38" s="18">
        <f t="shared" si="6"/>
        <v>708.30436687883389</v>
      </c>
      <c r="AA38" s="18">
        <f t="shared" si="7"/>
        <v>107.97687703593243</v>
      </c>
      <c r="AB38" s="18">
        <f t="shared" si="8"/>
        <v>4.4077786403195578</v>
      </c>
      <c r="AC38" s="18">
        <v>7.18506065446834</v>
      </c>
      <c r="AD38" s="18">
        <v>6.9060291727414143</v>
      </c>
      <c r="AE38" s="18"/>
      <c r="AH38" s="22">
        <f t="shared" si="21"/>
        <v>1</v>
      </c>
      <c r="AI38" s="22">
        <f t="shared" si="22"/>
        <v>3.186578718394923</v>
      </c>
      <c r="AJ38" s="22">
        <f t="shared" si="23"/>
        <v>2.6695786594380833</v>
      </c>
      <c r="AK38" s="22">
        <f t="shared" si="15"/>
        <v>1.632858820238513</v>
      </c>
      <c r="AL38" s="22">
        <f t="shared" si="24"/>
        <v>5.7276017173170839</v>
      </c>
      <c r="AM38" s="22">
        <f t="shared" si="25"/>
        <v>3.3829837917575132</v>
      </c>
      <c r="AN38" s="22">
        <f t="shared" si="26"/>
        <v>2.1321163581081652</v>
      </c>
      <c r="AO38" s="22">
        <f t="shared" si="27"/>
        <v>32.502872577252923</v>
      </c>
      <c r="AP38" s="22">
        <f t="shared" si="28"/>
        <v>73.712009988628296</v>
      </c>
    </row>
    <row r="39" spans="1:42" ht="14.5" x14ac:dyDescent="0.35">
      <c r="A39" s="14">
        <v>37</v>
      </c>
      <c r="B39" s="16">
        <v>110</v>
      </c>
      <c r="C39" s="16">
        <v>105</v>
      </c>
      <c r="D39" s="16">
        <v>14.6173</v>
      </c>
      <c r="E39" s="16">
        <f t="shared" si="10"/>
        <v>7.5253295752293514</v>
      </c>
      <c r="F39" s="16">
        <f t="shared" si="11"/>
        <v>7.183269139991654</v>
      </c>
      <c r="G39" s="10">
        <v>0.40789999999999998</v>
      </c>
      <c r="H39" s="11">
        <v>194.04878048780489</v>
      </c>
      <c r="I39" s="11">
        <v>0.60763888888888895</v>
      </c>
      <c r="J39" s="11">
        <v>0.23417721518987342</v>
      </c>
      <c r="K39" s="11">
        <v>0.50385604113110549</v>
      </c>
      <c r="L39" s="11">
        <v>0.41568627450980394</v>
      </c>
      <c r="M39" s="11">
        <v>0.65669160432252704</v>
      </c>
      <c r="N39" s="11">
        <v>6.3172344939473346</v>
      </c>
      <c r="O39" s="11">
        <v>0.57261842790213424</v>
      </c>
      <c r="P39" s="12">
        <v>6.4837905236907731E-2</v>
      </c>
      <c r="Q39" s="12"/>
      <c r="S39" s="13">
        <v>37</v>
      </c>
      <c r="T39" s="18">
        <f t="shared" si="0"/>
        <v>23786.317784727253</v>
      </c>
      <c r="U39" s="18">
        <f t="shared" si="1"/>
        <v>74.483805943722601</v>
      </c>
      <c r="V39" s="18">
        <f t="shared" si="2"/>
        <v>28.705223730065388</v>
      </c>
      <c r="W39" s="18">
        <f t="shared" si="3"/>
        <v>61.762201658630239</v>
      </c>
      <c r="X39" s="18">
        <f t="shared" si="4"/>
        <v>50.954434237534194</v>
      </c>
      <c r="Y39" s="18">
        <f t="shared" si="5"/>
        <v>80.496641863511542</v>
      </c>
      <c r="Z39" s="18">
        <f t="shared" si="6"/>
        <v>774.36068815240685</v>
      </c>
      <c r="AA39" s="18">
        <f t="shared" si="7"/>
        <v>70.191030632769582</v>
      </c>
      <c r="AB39" s="18">
        <f t="shared" si="8"/>
        <v>7.9477697029796195</v>
      </c>
      <c r="AC39" s="18">
        <v>7.5253295752293514</v>
      </c>
      <c r="AD39" s="18">
        <v>7.183269139991654</v>
      </c>
      <c r="AE39" s="18"/>
      <c r="AH39" s="22">
        <f t="shared" si="21"/>
        <v>1</v>
      </c>
      <c r="AI39" s="22">
        <f t="shared" si="22"/>
        <v>2.2148727724708115</v>
      </c>
      <c r="AJ39" s="22">
        <f t="shared" si="23"/>
        <v>1.2067956036682765</v>
      </c>
      <c r="AK39" s="22">
        <f t="shared" si="15"/>
        <v>1.5687448490261131</v>
      </c>
      <c r="AL39" s="22">
        <f t="shared" si="24"/>
        <v>4.4373606657343672</v>
      </c>
      <c r="AM39" s="22">
        <f t="shared" si="25"/>
        <v>2.726126744104675</v>
      </c>
      <c r="AN39" s="22">
        <f t="shared" si="26"/>
        <v>1.888182959603665</v>
      </c>
      <c r="AO39" s="22">
        <f t="shared" si="27"/>
        <v>17.115216459920497</v>
      </c>
      <c r="AP39" s="22">
        <f t="shared" si="28"/>
        <v>107.66475242539981</v>
      </c>
    </row>
    <row r="40" spans="1:42" ht="14.5" x14ac:dyDescent="0.35">
      <c r="A40" s="14">
        <v>38</v>
      </c>
      <c r="B40" s="16">
        <v>98</v>
      </c>
      <c r="C40" s="16">
        <v>95</v>
      </c>
      <c r="D40" s="16">
        <v>13.9876</v>
      </c>
      <c r="E40" s="16">
        <f t="shared" si="10"/>
        <v>7.0062054962967197</v>
      </c>
      <c r="F40" s="16">
        <f t="shared" si="11"/>
        <v>6.7917298178386565</v>
      </c>
      <c r="G40" s="10">
        <v>0.4158</v>
      </c>
      <c r="H40" s="11">
        <v>75.089430894308947</v>
      </c>
      <c r="I40" s="11">
        <v>1.0631944444444446</v>
      </c>
      <c r="J40" s="11">
        <v>0.35569620253164558</v>
      </c>
      <c r="K40" s="11">
        <v>0.27249357326478152</v>
      </c>
      <c r="L40" s="11">
        <v>0.27973856209150327</v>
      </c>
      <c r="M40" s="11">
        <v>0.49667497921862008</v>
      </c>
      <c r="N40" s="11">
        <v>2.5096717833520525</v>
      </c>
      <c r="O40" s="11">
        <v>0.75481520041644978</v>
      </c>
      <c r="P40" s="12">
        <v>4.809405058781617E-2</v>
      </c>
      <c r="Q40" s="12"/>
      <c r="S40" s="13">
        <v>38</v>
      </c>
      <c r="T40" s="18">
        <f t="shared" si="0"/>
        <v>9029.5130945537458</v>
      </c>
      <c r="U40" s="18">
        <f t="shared" si="1"/>
        <v>127.84925979370425</v>
      </c>
      <c r="V40" s="18">
        <f t="shared" si="2"/>
        <v>42.772511126941509</v>
      </c>
      <c r="W40" s="18">
        <f t="shared" si="3"/>
        <v>32.767384952474927</v>
      </c>
      <c r="X40" s="18">
        <f t="shared" si="4"/>
        <v>33.638595730098999</v>
      </c>
      <c r="Y40" s="18">
        <f t="shared" si="5"/>
        <v>59.725225976265044</v>
      </c>
      <c r="Z40" s="18">
        <f t="shared" si="6"/>
        <v>301.78833373641805</v>
      </c>
      <c r="AA40" s="18">
        <f t="shared" si="7"/>
        <v>90.766618616696704</v>
      </c>
      <c r="AB40" s="18">
        <f t="shared" si="8"/>
        <v>5.7833153665002603</v>
      </c>
      <c r="AC40" s="18">
        <v>7.0062054962967197</v>
      </c>
      <c r="AD40" s="18">
        <v>6.7917298178386565</v>
      </c>
      <c r="AE40" s="18"/>
      <c r="AH40" s="22">
        <f t="shared" si="21"/>
        <v>1</v>
      </c>
      <c r="AI40" s="22">
        <f t="shared" si="22"/>
        <v>10.014932510466291</v>
      </c>
      <c r="AJ40" s="22">
        <f t="shared" si="23"/>
        <v>4.7369676170844963</v>
      </c>
      <c r="AK40" s="22">
        <f t="shared" si="15"/>
        <v>2.1924727872714458</v>
      </c>
      <c r="AL40" s="22">
        <f t="shared" si="24"/>
        <v>7.7169109306780319</v>
      </c>
      <c r="AM40" s="22">
        <f t="shared" si="25"/>
        <v>5.3283036513907476</v>
      </c>
      <c r="AN40" s="22">
        <f t="shared" si="26"/>
        <v>1.9385013536632245</v>
      </c>
      <c r="AO40" s="22">
        <f t="shared" si="27"/>
        <v>58.302854479979992</v>
      </c>
      <c r="AP40" s="22">
        <f t="shared" si="28"/>
        <v>206.38020120150651</v>
      </c>
    </row>
    <row r="41" spans="1:42" ht="14.5" x14ac:dyDescent="0.35">
      <c r="A41" s="14">
        <v>39</v>
      </c>
      <c r="B41" s="16">
        <v>111</v>
      </c>
      <c r="C41" s="16">
        <v>106</v>
      </c>
      <c r="D41" s="16">
        <v>13.909800000000001</v>
      </c>
      <c r="E41" s="16">
        <f t="shared" si="10"/>
        <v>7.9799853340810074</v>
      </c>
      <c r="F41" s="16">
        <f t="shared" si="11"/>
        <v>7.6205265352485299</v>
      </c>
      <c r="G41" s="10">
        <v>0.41389999999999999</v>
      </c>
      <c r="H41" s="11">
        <v>140.58536585365852</v>
      </c>
      <c r="I41" s="11">
        <v>1.1451388888888889</v>
      </c>
      <c r="J41" s="11">
        <v>0.32025316455696201</v>
      </c>
      <c r="K41" s="11">
        <v>0.35475578406169667</v>
      </c>
      <c r="L41" s="11">
        <v>0.28758169934640521</v>
      </c>
      <c r="M41" s="11">
        <v>0.77930174563591026</v>
      </c>
      <c r="N41" s="11">
        <v>5.026831398976662</v>
      </c>
      <c r="O41" s="11">
        <v>0.6038521603331598</v>
      </c>
      <c r="P41" s="12">
        <v>3.2062700391877447E-2</v>
      </c>
      <c r="Q41" s="12"/>
      <c r="S41" s="13">
        <v>39</v>
      </c>
      <c r="T41" s="18">
        <f t="shared" si="0"/>
        <v>16983.01109611724</v>
      </c>
      <c r="U41" s="18">
        <f t="shared" si="1"/>
        <v>138.33521247751739</v>
      </c>
      <c r="V41" s="18">
        <f t="shared" si="2"/>
        <v>38.687263174312875</v>
      </c>
      <c r="W41" s="18">
        <f t="shared" si="3"/>
        <v>42.85525296710518</v>
      </c>
      <c r="X41" s="18">
        <f t="shared" si="4"/>
        <v>34.740480713506308</v>
      </c>
      <c r="Y41" s="18">
        <f t="shared" si="5"/>
        <v>94.141307759834532</v>
      </c>
      <c r="Z41" s="18">
        <f t="shared" si="6"/>
        <v>607.25192063018392</v>
      </c>
      <c r="AA41" s="18">
        <f t="shared" si="7"/>
        <v>72.946624828842687</v>
      </c>
      <c r="AB41" s="18">
        <f t="shared" si="8"/>
        <v>3.8732423764046202</v>
      </c>
      <c r="AC41" s="18">
        <v>7.9799853340810074</v>
      </c>
      <c r="AD41" s="18">
        <v>7.6205265352485299</v>
      </c>
      <c r="AE41" s="18"/>
      <c r="AH41" s="22">
        <f t="shared" si="21"/>
        <v>1</v>
      </c>
      <c r="AI41" s="22">
        <f t="shared" si="22"/>
        <v>5.7614552008636002</v>
      </c>
      <c r="AJ41" s="22">
        <f t="shared" si="23"/>
        <v>2.277997874190743</v>
      </c>
      <c r="AK41" s="22">
        <f t="shared" si="15"/>
        <v>1.5245656490333588</v>
      </c>
      <c r="AL41" s="22">
        <f t="shared" si="24"/>
        <v>4.2373183370040142</v>
      </c>
      <c r="AM41" s="22">
        <f t="shared" si="25"/>
        <v>4.4654068141389924</v>
      </c>
      <c r="AN41" s="22">
        <f t="shared" si="26"/>
        <v>2.0738731899317324</v>
      </c>
      <c r="AO41" s="22">
        <f t="shared" si="27"/>
        <v>24.91256830798498</v>
      </c>
      <c r="AP41" s="22">
        <f t="shared" si="28"/>
        <v>73.487837855544555</v>
      </c>
    </row>
    <row r="42" spans="1:42" ht="14.5" x14ac:dyDescent="0.35">
      <c r="A42" s="14">
        <v>40</v>
      </c>
      <c r="B42" s="16">
        <v>95</v>
      </c>
      <c r="C42" s="16">
        <v>93</v>
      </c>
      <c r="D42" s="16">
        <v>13.0557</v>
      </c>
      <c r="E42" s="16">
        <f t="shared" si="10"/>
        <v>7.2765152385548078</v>
      </c>
      <c r="F42" s="16">
        <f t="shared" si="11"/>
        <v>7.1233254440589171</v>
      </c>
      <c r="G42" s="10">
        <v>0.436</v>
      </c>
      <c r="H42" s="11">
        <v>136.58536585365852</v>
      </c>
      <c r="I42" s="11">
        <v>0.92569444444444449</v>
      </c>
      <c r="J42" s="11">
        <v>0.3063291139240506</v>
      </c>
      <c r="K42" s="11">
        <v>0.39331619537275064</v>
      </c>
      <c r="L42" s="11">
        <v>0.36601307189542481</v>
      </c>
      <c r="M42" s="11">
        <v>0.62136325852036567</v>
      </c>
      <c r="N42" s="11">
        <v>5.2639460876076365</v>
      </c>
      <c r="O42" s="11">
        <v>0.85892764185320147</v>
      </c>
      <c r="P42" s="12">
        <v>3.7762736017100104E-2</v>
      </c>
      <c r="Q42" s="12"/>
      <c r="S42" s="13">
        <v>40</v>
      </c>
      <c r="T42" s="18">
        <f t="shared" si="0"/>
        <v>15663.459386887444</v>
      </c>
      <c r="U42" s="18">
        <f t="shared" si="1"/>
        <v>106.15761977573904</v>
      </c>
      <c r="V42" s="18">
        <f t="shared" si="2"/>
        <v>35.12948554174892</v>
      </c>
      <c r="W42" s="18">
        <f t="shared" si="3"/>
        <v>45.10506827669159</v>
      </c>
      <c r="X42" s="18">
        <f t="shared" si="4"/>
        <v>41.973976134796423</v>
      </c>
      <c r="Y42" s="18">
        <f t="shared" si="5"/>
        <v>71.257254417473121</v>
      </c>
      <c r="Z42" s="18">
        <f t="shared" si="6"/>
        <v>603.66354215683896</v>
      </c>
      <c r="AA42" s="18">
        <f t="shared" si="7"/>
        <v>98.500876359312102</v>
      </c>
      <c r="AB42" s="18">
        <f t="shared" si="8"/>
        <v>4.3305889927867094</v>
      </c>
      <c r="AC42" s="18">
        <v>7.2765152385548078</v>
      </c>
      <c r="AD42" s="18">
        <v>7.1233254440589171</v>
      </c>
      <c r="AE42" s="18"/>
      <c r="AH42" s="22">
        <f t="shared" si="21"/>
        <v>1</v>
      </c>
      <c r="AI42" s="22">
        <f t="shared" si="22"/>
        <v>4.7937748015873032</v>
      </c>
      <c r="AJ42" s="22">
        <f t="shared" si="23"/>
        <v>2.2427667269439424</v>
      </c>
      <c r="AK42" s="22">
        <f t="shared" si="15"/>
        <v>1.7397803433712822</v>
      </c>
      <c r="AL42" s="22">
        <f t="shared" si="24"/>
        <v>5.5508870214752584</v>
      </c>
      <c r="AM42" s="22">
        <f t="shared" si="25"/>
        <v>3.6646870753011651</v>
      </c>
      <c r="AN42" s="22">
        <f t="shared" si="26"/>
        <v>2.2352971064876712</v>
      </c>
      <c r="AO42" s="22">
        <f t="shared" si="27"/>
        <v>36.473748791552026</v>
      </c>
      <c r="AP42" s="22">
        <f t="shared" si="28"/>
        <v>89.087089532404846</v>
      </c>
    </row>
    <row r="43" spans="1:42" ht="14.5" x14ac:dyDescent="0.35">
      <c r="A43" s="14">
        <v>41</v>
      </c>
      <c r="B43" s="16">
        <v>119</v>
      </c>
      <c r="C43" s="16">
        <v>116</v>
      </c>
      <c r="D43" s="16">
        <v>13.101800000000001</v>
      </c>
      <c r="E43" s="16">
        <f t="shared" si="10"/>
        <v>9.0827214581202576</v>
      </c>
      <c r="F43" s="16">
        <f t="shared" si="11"/>
        <v>8.8537452869071416</v>
      </c>
      <c r="G43" s="10">
        <v>0.40039999999999998</v>
      </c>
      <c r="H43" s="11">
        <v>95.635451505016718</v>
      </c>
      <c r="I43" s="11">
        <v>1.476388888888889</v>
      </c>
      <c r="J43" s="11">
        <v>0.45696202531645569</v>
      </c>
      <c r="K43" s="11">
        <v>0.31451213472015849</v>
      </c>
      <c r="L43" s="11">
        <v>0.24688149688149688</v>
      </c>
      <c r="M43" s="11">
        <v>0.37297969332780773</v>
      </c>
      <c r="N43" s="11">
        <v>3.5646769390133377</v>
      </c>
      <c r="O43" s="11">
        <v>0.71578947368421053</v>
      </c>
      <c r="P43" s="12">
        <v>2.96028880866426E-2</v>
      </c>
      <c r="Q43" s="12"/>
      <c r="S43" s="13">
        <v>41</v>
      </c>
      <c r="T43" s="18">
        <f t="shared" si="0"/>
        <v>11942.488949177912</v>
      </c>
      <c r="U43" s="18">
        <f t="shared" si="1"/>
        <v>184.36424686424687</v>
      </c>
      <c r="V43" s="18">
        <f t="shared" si="2"/>
        <v>57.063189974582379</v>
      </c>
      <c r="W43" s="18">
        <f t="shared" si="3"/>
        <v>39.274742097921887</v>
      </c>
      <c r="X43" s="18">
        <f t="shared" si="4"/>
        <v>30.829357752434678</v>
      </c>
      <c r="Y43" s="18">
        <f t="shared" si="5"/>
        <v>46.575885780195776</v>
      </c>
      <c r="Z43" s="18">
        <f t="shared" si="6"/>
        <v>445.13947789876846</v>
      </c>
      <c r="AA43" s="18">
        <f t="shared" si="7"/>
        <v>89.384299910615709</v>
      </c>
      <c r="AB43" s="18">
        <f t="shared" si="8"/>
        <v>3.6966643464838409</v>
      </c>
      <c r="AC43" s="18">
        <v>9.0827214581202576</v>
      </c>
      <c r="AD43" s="18">
        <v>8.8537452869071416</v>
      </c>
      <c r="AE43" s="18"/>
      <c r="AH43" s="22">
        <f t="shared" si="21"/>
        <v>1</v>
      </c>
      <c r="AI43" s="22">
        <f t="shared" si="22"/>
        <v>10.919330136648107</v>
      </c>
      <c r="AJ43" s="22">
        <f t="shared" si="23"/>
        <v>4.7781656083098527</v>
      </c>
      <c r="AK43" s="22">
        <f t="shared" si="15"/>
        <v>1.9868965438002668</v>
      </c>
      <c r="AL43" s="22">
        <f t="shared" si="24"/>
        <v>5.3473620749368269</v>
      </c>
      <c r="AM43" s="22">
        <f t="shared" si="25"/>
        <v>3.1416787325342637</v>
      </c>
      <c r="AN43" s="22">
        <f t="shared" si="26"/>
        <v>2.1618684202262388</v>
      </c>
      <c r="AO43" s="22">
        <f t="shared" si="27"/>
        <v>43.410460054665428</v>
      </c>
      <c r="AP43" s="22">
        <f t="shared" si="28"/>
        <v>99.74029748762527</v>
      </c>
    </row>
    <row r="44" spans="1:42" ht="14.5" x14ac:dyDescent="0.35">
      <c r="A44" s="14">
        <v>42</v>
      </c>
      <c r="B44" s="16">
        <v>104</v>
      </c>
      <c r="C44" s="16">
        <v>95</v>
      </c>
      <c r="D44" s="16">
        <v>15.2018</v>
      </c>
      <c r="E44" s="16">
        <f t="shared" si="10"/>
        <v>6.8412951097896304</v>
      </c>
      <c r="F44" s="16">
        <f t="shared" si="11"/>
        <v>6.249259956057835</v>
      </c>
      <c r="G44" s="10">
        <v>0.41149999999999998</v>
      </c>
      <c r="H44" s="11">
        <v>89.314381270903013</v>
      </c>
      <c r="I44" s="11">
        <v>0.82465277777777779</v>
      </c>
      <c r="J44" s="11">
        <v>0.3</v>
      </c>
      <c r="K44" s="11">
        <v>0.36404160475482911</v>
      </c>
      <c r="L44" s="11">
        <v>0.31704781704781704</v>
      </c>
      <c r="M44" s="11">
        <v>0.37297969332780773</v>
      </c>
      <c r="N44" s="11">
        <v>3.4921662566360223</v>
      </c>
      <c r="O44" s="11">
        <v>1.9736842105263157</v>
      </c>
      <c r="P44" s="12">
        <v>3.8267148014440429E-2</v>
      </c>
      <c r="Q44" s="12"/>
      <c r="S44" s="13">
        <v>42</v>
      </c>
      <c r="T44" s="18">
        <f t="shared" si="0"/>
        <v>10852.29420059575</v>
      </c>
      <c r="U44" s="18">
        <f t="shared" si="1"/>
        <v>100.20082354529501</v>
      </c>
      <c r="V44" s="18">
        <f t="shared" si="2"/>
        <v>36.452004860267316</v>
      </c>
      <c r="W44" s="18">
        <f t="shared" si="3"/>
        <v>44.233487819541814</v>
      </c>
      <c r="X44" s="18">
        <f t="shared" si="4"/>
        <v>38.523428559880564</v>
      </c>
      <c r="Y44" s="18">
        <f t="shared" si="5"/>
        <v>45.319525313220872</v>
      </c>
      <c r="Z44" s="18">
        <f t="shared" si="6"/>
        <v>424.3215378658594</v>
      </c>
      <c r="AA44" s="18">
        <f t="shared" si="7"/>
        <v>239.81582144912707</v>
      </c>
      <c r="AB44" s="18">
        <f t="shared" si="8"/>
        <v>4.6497142180365048</v>
      </c>
      <c r="AC44" s="18">
        <v>6.8412951097896304</v>
      </c>
      <c r="AD44" s="18">
        <v>6.249259956057835</v>
      </c>
      <c r="AE44" s="18"/>
      <c r="AH44" s="22">
        <f t="shared" si="21"/>
        <v>1</v>
      </c>
      <c r="AI44" s="22">
        <f t="shared" si="22"/>
        <v>6.5307622452277698</v>
      </c>
      <c r="AJ44" s="22">
        <f t="shared" si="23"/>
        <v>3.358921550271484</v>
      </c>
      <c r="AK44" s="22">
        <f t="shared" si="15"/>
        <v>2.462557538249019</v>
      </c>
      <c r="AL44" s="22">
        <f t="shared" si="24"/>
        <v>7.3531484784059202</v>
      </c>
      <c r="AM44" s="22">
        <f t="shared" si="25"/>
        <v>3.3640255890963204</v>
      </c>
      <c r="AN44" s="22">
        <f t="shared" si="26"/>
        <v>2.2677830826654897</v>
      </c>
      <c r="AO44" s="22">
        <f t="shared" si="27"/>
        <v>128.1693749445698</v>
      </c>
      <c r="AP44" s="22">
        <f t="shared" si="28"/>
        <v>138.05755910595727</v>
      </c>
    </row>
    <row r="45" spans="1:42" ht="14.5" x14ac:dyDescent="0.35">
      <c r="A45" s="14">
        <v>43</v>
      </c>
      <c r="B45" s="16">
        <v>141</v>
      </c>
      <c r="C45" s="16">
        <v>133</v>
      </c>
      <c r="D45" s="16">
        <v>15.203609999999999</v>
      </c>
      <c r="E45" s="16">
        <f t="shared" si="10"/>
        <v>9.2741131875916309</v>
      </c>
      <c r="F45" s="16">
        <f t="shared" si="11"/>
        <v>8.7479223684374965</v>
      </c>
      <c r="G45" s="10">
        <v>0.43840000000000001</v>
      </c>
      <c r="H45" s="11">
        <v>167.3745819397993</v>
      </c>
      <c r="I45" s="11">
        <v>0.98715277777777788</v>
      </c>
      <c r="J45" s="11">
        <v>0.28607594936708858</v>
      </c>
      <c r="K45" s="11">
        <v>0.56463595839524516</v>
      </c>
      <c r="L45" s="11">
        <v>0.3716216216216216</v>
      </c>
      <c r="M45" s="11">
        <v>0.58847907169498548</v>
      </c>
      <c r="N45" s="11">
        <v>6.8729768224783125</v>
      </c>
      <c r="O45" s="11">
        <v>1.2684210526315789</v>
      </c>
      <c r="P45" s="12">
        <v>3.6823104693140797E-2</v>
      </c>
      <c r="Q45" s="12"/>
      <c r="S45" s="13">
        <v>43</v>
      </c>
      <c r="T45" s="18">
        <f t="shared" si="0"/>
        <v>19089.254327075647</v>
      </c>
      <c r="U45" s="18">
        <f t="shared" si="1"/>
        <v>112.58585512976481</v>
      </c>
      <c r="V45" s="18">
        <f t="shared" si="2"/>
        <v>32.627275247158821</v>
      </c>
      <c r="W45" s="18">
        <f t="shared" si="3"/>
        <v>64.397349269530693</v>
      </c>
      <c r="X45" s="18">
        <f t="shared" si="4"/>
        <v>42.383852830933122</v>
      </c>
      <c r="Y45" s="18">
        <f t="shared" si="5"/>
        <v>67.116682446964589</v>
      </c>
      <c r="Z45" s="18">
        <f t="shared" si="6"/>
        <v>783.87053176075642</v>
      </c>
      <c r="AA45" s="18">
        <f t="shared" si="7"/>
        <v>144.66480983480599</v>
      </c>
      <c r="AB45" s="18">
        <f t="shared" si="8"/>
        <v>4.1997154075206202</v>
      </c>
      <c r="AC45" s="18">
        <v>9.2741131875916309</v>
      </c>
      <c r="AD45" s="18">
        <v>8.7479223684374965</v>
      </c>
      <c r="AE45" s="18"/>
      <c r="AH45" s="22">
        <f t="shared" si="21"/>
        <v>1</v>
      </c>
      <c r="AI45" s="22">
        <f t="shared" si="22"/>
        <v>4.1716609861422844</v>
      </c>
      <c r="AJ45" s="22">
        <f t="shared" si="23"/>
        <v>1.7091959009043762</v>
      </c>
      <c r="AK45" s="22">
        <f t="shared" si="15"/>
        <v>2.0381483311874198</v>
      </c>
      <c r="AL45" s="22">
        <f t="shared" si="24"/>
        <v>4.5991908440704545</v>
      </c>
      <c r="AM45" s="22">
        <f t="shared" si="25"/>
        <v>2.8322854046176342</v>
      </c>
      <c r="AN45" s="22">
        <f t="shared" si="26"/>
        <v>2.3816797693159941</v>
      </c>
      <c r="AO45" s="22">
        <f t="shared" si="27"/>
        <v>43.954356868292237</v>
      </c>
      <c r="AP45" s="22">
        <f t="shared" si="28"/>
        <v>70.890230080532859</v>
      </c>
    </row>
    <row r="46" spans="1:42" ht="14.5" x14ac:dyDescent="0.35">
      <c r="A46" s="14">
        <v>44</v>
      </c>
      <c r="B46" s="16">
        <v>183</v>
      </c>
      <c r="C46" s="16">
        <v>180</v>
      </c>
      <c r="D46" s="16">
        <v>16.366800000000001</v>
      </c>
      <c r="E46" s="16">
        <f t="shared" si="10"/>
        <v>11.18117164014957</v>
      </c>
      <c r="F46" s="16">
        <f t="shared" si="11"/>
        <v>10.997873744409413</v>
      </c>
      <c r="G46" s="10">
        <v>0.42935000000000001</v>
      </c>
      <c r="H46" s="11">
        <v>49.832775919732448</v>
      </c>
      <c r="I46" s="11">
        <v>1.0621527777777779</v>
      </c>
      <c r="J46" s="11">
        <v>0.32278481012658228</v>
      </c>
      <c r="K46" s="11">
        <v>0.40614165428429921</v>
      </c>
      <c r="L46" s="11">
        <v>0.4002079002079002</v>
      </c>
      <c r="M46" s="11">
        <v>0.44550352258599252</v>
      </c>
      <c r="N46" s="11">
        <v>1.7260132073028618</v>
      </c>
      <c r="O46" s="11">
        <v>1.5473684210526317</v>
      </c>
      <c r="P46" s="12">
        <v>0.3129963898916967</v>
      </c>
      <c r="Q46" s="12"/>
      <c r="S46" s="13">
        <v>44</v>
      </c>
      <c r="T46" s="18">
        <f t="shared" si="0"/>
        <v>5803.2812297347673</v>
      </c>
      <c r="U46" s="18">
        <f t="shared" si="1"/>
        <v>123.69311491531128</v>
      </c>
      <c r="V46" s="18">
        <f t="shared" si="2"/>
        <v>37.589939458085738</v>
      </c>
      <c r="W46" s="18">
        <f t="shared" si="3"/>
        <v>47.297269626679771</v>
      </c>
      <c r="X46" s="18">
        <f t="shared" si="4"/>
        <v>46.606253663433115</v>
      </c>
      <c r="Y46" s="18">
        <f t="shared" si="5"/>
        <v>51.88116019401334</v>
      </c>
      <c r="Z46" s="18">
        <f t="shared" si="6"/>
        <v>201.00305197424731</v>
      </c>
      <c r="AA46" s="18">
        <f t="shared" si="7"/>
        <v>180.19895435572747</v>
      </c>
      <c r="AB46" s="18">
        <f t="shared" si="8"/>
        <v>36.450027936613097</v>
      </c>
      <c r="AC46" s="18">
        <v>11.18117164014957</v>
      </c>
      <c r="AD46" s="18">
        <v>10.997873744409413</v>
      </c>
      <c r="AE46" s="18"/>
      <c r="AH46" s="22">
        <f t="shared" si="21"/>
        <v>1</v>
      </c>
      <c r="AI46" s="22">
        <f t="shared" si="22"/>
        <v>15.075997276331828</v>
      </c>
      <c r="AJ46" s="22">
        <f t="shared" si="23"/>
        <v>6.4773596126072528</v>
      </c>
      <c r="AK46" s="22">
        <f t="shared" si="15"/>
        <v>4.9240132610446841</v>
      </c>
      <c r="AL46" s="22">
        <f t="shared" si="24"/>
        <v>16.635679303464535</v>
      </c>
      <c r="AM46" s="22">
        <f t="shared" si="25"/>
        <v>7.2016425136896753</v>
      </c>
      <c r="AN46" s="22">
        <f t="shared" si="26"/>
        <v>2.0088940296004179</v>
      </c>
      <c r="AO46" s="22">
        <f t="shared" si="27"/>
        <v>180.09706817379018</v>
      </c>
      <c r="AP46" s="25"/>
    </row>
    <row r="47" spans="1:42" x14ac:dyDescent="0.3">
      <c r="A47" s="28">
        <v>45</v>
      </c>
      <c r="B47" s="28"/>
      <c r="C47" s="28"/>
      <c r="D47" s="28"/>
      <c r="E47" s="28"/>
      <c r="F47" s="28"/>
      <c r="G47" s="29" t="s">
        <v>78</v>
      </c>
      <c r="H47" s="30">
        <v>-1.1538461538461537</v>
      </c>
      <c r="I47" s="30">
        <v>0.10659722222222223</v>
      </c>
      <c r="J47" s="30">
        <v>7.848101265822785E-2</v>
      </c>
      <c r="K47" s="30">
        <v>8.9153046062407135E-2</v>
      </c>
      <c r="L47" s="30">
        <v>4.9376299376299379E-2</v>
      </c>
      <c r="M47" s="30">
        <v>-2.0721094073767096E-2</v>
      </c>
      <c r="N47" s="30">
        <v>-6.6036514307911437E-2</v>
      </c>
      <c r="O47" s="30">
        <v>0.19473684210526315</v>
      </c>
      <c r="P47" s="31">
        <v>1.5523465703971121E-2</v>
      </c>
      <c r="Q47" s="12"/>
      <c r="T47" s="11"/>
      <c r="U47" s="11"/>
      <c r="V47" s="11"/>
      <c r="W47" s="11"/>
      <c r="X47" s="11"/>
      <c r="Y47" s="11"/>
      <c r="Z47" s="11"/>
      <c r="AA47" s="11"/>
      <c r="AB47" s="12"/>
      <c r="AC47" s="12"/>
      <c r="AD47" s="12"/>
      <c r="AE47" s="12"/>
      <c r="AH47" s="14" t="s">
        <v>1</v>
      </c>
      <c r="AI47" s="14" t="s">
        <v>65</v>
      </c>
      <c r="AJ47" s="14" t="s">
        <v>66</v>
      </c>
      <c r="AK47" s="14" t="s">
        <v>67</v>
      </c>
      <c r="AL47" s="14" t="s">
        <v>68</v>
      </c>
      <c r="AM47" s="14" t="s">
        <v>70</v>
      </c>
      <c r="AN47" s="14" t="s">
        <v>72</v>
      </c>
      <c r="AO47" s="14" t="s">
        <v>73</v>
      </c>
      <c r="AP47" s="14" t="s">
        <v>71</v>
      </c>
    </row>
    <row r="48" spans="1:42" x14ac:dyDescent="0.3">
      <c r="A48" s="28">
        <v>46</v>
      </c>
      <c r="B48" s="28"/>
      <c r="C48" s="28"/>
      <c r="D48" s="28"/>
      <c r="E48" s="28"/>
      <c r="F48" s="28"/>
      <c r="G48" s="29" t="s">
        <v>78</v>
      </c>
      <c r="H48" s="30">
        <v>-0.43478260869565216</v>
      </c>
      <c r="I48" s="30">
        <v>0.15694444444444444</v>
      </c>
      <c r="J48" s="30">
        <v>0.21392405063291137</v>
      </c>
      <c r="K48" s="30">
        <v>9.9058940069341267E-2</v>
      </c>
      <c r="L48" s="30">
        <v>6.7567567567567557E-2</v>
      </c>
      <c r="M48" s="30">
        <v>-1.0360547036883556E-2</v>
      </c>
      <c r="N48" s="30">
        <v>-9.0638352971643115E-3</v>
      </c>
      <c r="O48" s="30">
        <v>3.1578947368421054E-2</v>
      </c>
      <c r="P48" s="31">
        <v>9.0252707581227453E-3</v>
      </c>
      <c r="Q48" s="12"/>
      <c r="S48" s="19" t="s">
        <v>140</v>
      </c>
      <c r="T48" s="18">
        <f>AVERAGE(T3:T46)</f>
        <v>12077.877233186231</v>
      </c>
      <c r="U48" s="18">
        <f t="shared" ref="U48:AB48" si="29">AVERAGE(U3:U46)</f>
        <v>122.46573375176391</v>
      </c>
      <c r="V48" s="18">
        <f t="shared" si="29"/>
        <v>54.344429662068315</v>
      </c>
      <c r="W48" s="18">
        <f t="shared" si="29"/>
        <v>39.089672532967185</v>
      </c>
      <c r="X48" s="18">
        <f t="shared" si="29"/>
        <v>39.904119597111013</v>
      </c>
      <c r="Y48" s="18">
        <f t="shared" si="29"/>
        <v>67.979687501069719</v>
      </c>
      <c r="Z48" s="18">
        <f t="shared" si="29"/>
        <v>464.85712696512877</v>
      </c>
      <c r="AA48" s="18">
        <f t="shared" si="29"/>
        <v>116.97802457406077</v>
      </c>
      <c r="AB48" s="18">
        <f t="shared" si="29"/>
        <v>12.373118820704086</v>
      </c>
      <c r="AC48" s="18"/>
      <c r="AD48" s="18"/>
      <c r="AE48" s="18"/>
      <c r="AG48" s="19" t="s">
        <v>140</v>
      </c>
      <c r="AH48" s="23">
        <f t="shared" ref="AH48:AP48" si="30">AVERAGE(AH3:AH46)</f>
        <v>1</v>
      </c>
      <c r="AI48" s="23">
        <f t="shared" si="30"/>
        <v>9.135313518359288</v>
      </c>
      <c r="AJ48" s="23">
        <f t="shared" si="30"/>
        <v>5.6010942799880903</v>
      </c>
      <c r="AK48" s="23">
        <f t="shared" si="30"/>
        <v>2.2009732592788041</v>
      </c>
      <c r="AL48" s="23">
        <f t="shared" si="30"/>
        <v>8.0746263743674831</v>
      </c>
      <c r="AM48" s="23">
        <f t="shared" si="30"/>
        <v>5.3382422753539913</v>
      </c>
      <c r="AN48" s="23">
        <f t="shared" si="30"/>
        <v>2.4881675648080548</v>
      </c>
      <c r="AO48" s="23">
        <f t="shared" si="30"/>
        <v>69.36560102760501</v>
      </c>
      <c r="AP48" s="23">
        <f t="shared" si="30"/>
        <v>274.26322402453599</v>
      </c>
    </row>
    <row r="49" spans="1:42" x14ac:dyDescent="0.3">
      <c r="A49" s="28">
        <v>47</v>
      </c>
      <c r="B49" s="28"/>
      <c r="C49" s="28"/>
      <c r="D49" s="28"/>
      <c r="E49" s="28"/>
      <c r="F49" s="28"/>
      <c r="G49" s="29" t="s">
        <v>78</v>
      </c>
      <c r="H49" s="30">
        <v>-1.3879598662207357</v>
      </c>
      <c r="I49" s="30">
        <v>6.5625000000000003E-2</v>
      </c>
      <c r="J49" s="30">
        <v>-8.8607594936708865E-3</v>
      </c>
      <c r="K49" s="30">
        <v>9.1629519564140671E-2</v>
      </c>
      <c r="L49" s="30">
        <v>4.6777546777546773E-2</v>
      </c>
      <c r="M49" s="30">
        <v>0</v>
      </c>
      <c r="N49" s="30">
        <v>-2.5896672277612286E-3</v>
      </c>
      <c r="O49" s="30">
        <v>0.14210526315789473</v>
      </c>
      <c r="P49" s="31">
        <v>8.303249097472926E-3</v>
      </c>
      <c r="Q49" s="12"/>
      <c r="S49" s="19" t="s">
        <v>141</v>
      </c>
      <c r="T49" s="17">
        <f>STDEV(T3:T46)</f>
        <v>5362.9199013425205</v>
      </c>
      <c r="U49" s="17">
        <f t="shared" ref="U49:AB49" si="31">STDEV(U3:U46)</f>
        <v>60.695602305096074</v>
      </c>
      <c r="V49" s="17">
        <f t="shared" si="31"/>
        <v>27.522540043078383</v>
      </c>
      <c r="W49" s="17">
        <f t="shared" si="31"/>
        <v>12.834054042398197</v>
      </c>
      <c r="X49" s="17">
        <f t="shared" si="31"/>
        <v>7.8184974344999825</v>
      </c>
      <c r="Y49" s="17">
        <f t="shared" si="31"/>
        <v>13.705690480756195</v>
      </c>
      <c r="Z49" s="17">
        <f t="shared" si="31"/>
        <v>173.84815959277378</v>
      </c>
      <c r="AA49" s="17">
        <f t="shared" si="31"/>
        <v>41.313558328975844</v>
      </c>
      <c r="AB49" s="17">
        <f t="shared" si="31"/>
        <v>13.675414042980053</v>
      </c>
      <c r="AC49" s="17"/>
      <c r="AD49" s="17"/>
      <c r="AE49" s="17"/>
      <c r="AG49" s="19" t="s">
        <v>141</v>
      </c>
      <c r="AH49" s="24">
        <f t="shared" ref="AH49:AP49" si="32">STDEV(AH3:AH46)</f>
        <v>0</v>
      </c>
      <c r="AI49" s="24">
        <f t="shared" si="32"/>
        <v>6.5657335592516084</v>
      </c>
      <c r="AJ49" s="24">
        <f t="shared" si="32"/>
        <v>3.8310389330955923</v>
      </c>
      <c r="AK49" s="24">
        <f t="shared" si="32"/>
        <v>1.0417365005325094</v>
      </c>
      <c r="AL49" s="24">
        <f t="shared" si="32"/>
        <v>3.6785603745377173</v>
      </c>
      <c r="AM49" s="24">
        <f t="shared" si="32"/>
        <v>2.3421713329484199</v>
      </c>
      <c r="AN49" s="24">
        <f t="shared" si="32"/>
        <v>1.5230603386289401</v>
      </c>
      <c r="AO49" s="24">
        <f t="shared" si="32"/>
        <v>41.910908543115859</v>
      </c>
      <c r="AP49" s="24">
        <f t="shared" si="32"/>
        <v>216.54472219249448</v>
      </c>
    </row>
    <row r="50" spans="1:42" x14ac:dyDescent="0.3">
      <c r="A50" s="28">
        <v>48</v>
      </c>
      <c r="B50" s="28"/>
      <c r="C50" s="28"/>
      <c r="D50" s="28"/>
      <c r="E50" s="28"/>
      <c r="F50" s="28"/>
      <c r="G50" s="29" t="s">
        <v>78</v>
      </c>
      <c r="H50" s="30">
        <v>-2.1739130434782608</v>
      </c>
      <c r="I50" s="30">
        <v>4.8263888888888891E-2</v>
      </c>
      <c r="J50" s="30">
        <v>-1.2658227848101266E-2</v>
      </c>
      <c r="K50" s="30">
        <v>6.1911837543338288E-2</v>
      </c>
      <c r="L50" s="30">
        <v>2.3388773388773387E-2</v>
      </c>
      <c r="M50" s="30">
        <v>-6.216328222130129E-2</v>
      </c>
      <c r="N50" s="30">
        <v>-9.1933186585523768E-2</v>
      </c>
      <c r="O50" s="30">
        <v>0.10526315789473685</v>
      </c>
      <c r="P50" s="31">
        <v>5.7761732851985582E-3</v>
      </c>
      <c r="Q50" s="12"/>
      <c r="S50" s="19" t="s">
        <v>142</v>
      </c>
      <c r="T50" s="11">
        <f>MIN(T3:T46)</f>
        <v>1724.792948864068</v>
      </c>
      <c r="U50" s="11">
        <f t="shared" ref="U50:AB50" si="33">MIN(U3:U46)</f>
        <v>49.994092791816087</v>
      </c>
      <c r="V50" s="11">
        <f t="shared" si="33"/>
        <v>22.529866895917944</v>
      </c>
      <c r="W50" s="11">
        <f t="shared" si="33"/>
        <v>15.555932422589409</v>
      </c>
      <c r="X50" s="11">
        <f t="shared" si="33"/>
        <v>20.768431983385256</v>
      </c>
      <c r="Y50" s="11">
        <f t="shared" si="33"/>
        <v>34.716557515867656</v>
      </c>
      <c r="Z50" s="11">
        <f t="shared" si="33"/>
        <v>154.46211381914225</v>
      </c>
      <c r="AA50" s="11">
        <f t="shared" si="33"/>
        <v>66.803382519949622</v>
      </c>
      <c r="AB50" s="11">
        <f t="shared" si="33"/>
        <v>3.6966643464838409</v>
      </c>
      <c r="AC50" s="11"/>
      <c r="AD50" s="11"/>
      <c r="AE50" s="11"/>
      <c r="AG50" s="19" t="s">
        <v>142</v>
      </c>
      <c r="AH50" s="15">
        <f t="shared" ref="AH50:AP50" si="34">MIN(AH3:AH46)</f>
        <v>1</v>
      </c>
      <c r="AI50" s="15">
        <f t="shared" si="34"/>
        <v>1.9204610538373428</v>
      </c>
      <c r="AJ50" s="15">
        <f t="shared" si="34"/>
        <v>1.2067956036682765</v>
      </c>
      <c r="AK50" s="15">
        <f t="shared" si="34"/>
        <v>1.4114247917384433</v>
      </c>
      <c r="AL50" s="15">
        <f t="shared" si="34"/>
        <v>4.2373183370040142</v>
      </c>
      <c r="AM50" s="15">
        <f t="shared" si="34"/>
        <v>2.7242234714854714</v>
      </c>
      <c r="AN50" s="15">
        <f t="shared" si="34"/>
        <v>1.4704536185399755</v>
      </c>
      <c r="AO50" s="15">
        <f t="shared" si="34"/>
        <v>17.115216459920497</v>
      </c>
      <c r="AP50" s="15">
        <f t="shared" si="34"/>
        <v>62.769202987130321</v>
      </c>
    </row>
    <row r="51" spans="1:42" x14ac:dyDescent="0.3">
      <c r="A51" s="28" t="s">
        <v>63</v>
      </c>
      <c r="B51" s="28"/>
      <c r="C51" s="28"/>
      <c r="D51" s="28"/>
      <c r="E51" s="28"/>
      <c r="F51" s="28"/>
      <c r="G51" s="29"/>
      <c r="H51" s="30">
        <v>-3.1772575250836121</v>
      </c>
      <c r="I51" s="30">
        <v>6.5972222222222231E-3</v>
      </c>
      <c r="J51" s="30">
        <v>-2.7848101265822787E-2</v>
      </c>
      <c r="K51" s="30">
        <v>4.9529470034670633E-2</v>
      </c>
      <c r="L51" s="30">
        <v>1.8191268191268192E-2</v>
      </c>
      <c r="M51" s="30">
        <v>-0.128470783257356</v>
      </c>
      <c r="N51" s="30">
        <v>-0.10876602356597177</v>
      </c>
      <c r="O51" s="30">
        <v>2.1052631578947361E-2</v>
      </c>
      <c r="P51" s="31">
        <v>-5.7761732851985522E-3</v>
      </c>
      <c r="Q51" s="12"/>
      <c r="S51" s="19" t="s">
        <v>143</v>
      </c>
      <c r="T51" s="17">
        <f>MAX(T3:T46)</f>
        <v>23786.317784727253</v>
      </c>
      <c r="U51" s="17">
        <f t="shared" ref="U51:AB51" si="35">MAX(U3:U46)</f>
        <v>339.79282597904745</v>
      </c>
      <c r="V51" s="17">
        <f t="shared" si="35"/>
        <v>143.65423051299135</v>
      </c>
      <c r="W51" s="17">
        <f t="shared" si="35"/>
        <v>64.397349269530693</v>
      </c>
      <c r="X51" s="17">
        <f t="shared" si="35"/>
        <v>55.090943641615979</v>
      </c>
      <c r="Y51" s="17">
        <f t="shared" si="35"/>
        <v>95.487323112802287</v>
      </c>
      <c r="Z51" s="17">
        <f t="shared" si="35"/>
        <v>852.67548529185535</v>
      </c>
      <c r="AA51" s="17">
        <f t="shared" si="35"/>
        <v>259.08747565525607</v>
      </c>
      <c r="AB51" s="17">
        <f t="shared" si="35"/>
        <v>62.496909875011738</v>
      </c>
      <c r="AC51" s="17"/>
      <c r="AD51" s="17"/>
      <c r="AE51" s="17"/>
      <c r="AG51" s="19" t="s">
        <v>143</v>
      </c>
      <c r="AH51" s="24">
        <f t="shared" ref="AH51:AP51" si="36">MAX(AH3:AH46)</f>
        <v>1</v>
      </c>
      <c r="AI51" s="24">
        <f t="shared" si="36"/>
        <v>33.152647760646111</v>
      </c>
      <c r="AJ51" s="24">
        <f t="shared" si="36"/>
        <v>19.204817933418838</v>
      </c>
      <c r="AK51" s="24">
        <f t="shared" si="36"/>
        <v>6.6991808093615139</v>
      </c>
      <c r="AL51" s="24">
        <f t="shared" si="36"/>
        <v>24.942311726452701</v>
      </c>
      <c r="AM51" s="24">
        <f t="shared" si="36"/>
        <v>16.21418721307354</v>
      </c>
      <c r="AN51" s="24">
        <f t="shared" si="36"/>
        <v>11.878881014386863</v>
      </c>
      <c r="AO51" s="24">
        <f t="shared" si="36"/>
        <v>241.30810173665972</v>
      </c>
      <c r="AP51" s="24">
        <f t="shared" si="36"/>
        <v>953.45758858732188</v>
      </c>
    </row>
    <row r="52" spans="1:42" x14ac:dyDescent="0.3">
      <c r="A52" s="28" t="s">
        <v>63</v>
      </c>
      <c r="B52" s="28"/>
      <c r="C52" s="28"/>
      <c r="D52" s="28"/>
      <c r="E52" s="28"/>
      <c r="F52" s="28"/>
      <c r="G52" s="29"/>
      <c r="H52" s="30">
        <v>-3.1939799331103678</v>
      </c>
      <c r="I52" s="30">
        <v>1.4583333333333334E-2</v>
      </c>
      <c r="J52" s="30">
        <v>-2.2784810126582278E-2</v>
      </c>
      <c r="K52" s="30">
        <v>5.2005943536404156E-2</v>
      </c>
      <c r="L52" s="30">
        <v>1.5592515592515593E-2</v>
      </c>
      <c r="M52" s="30">
        <v>-0.10360547036883548</v>
      </c>
      <c r="N52" s="30">
        <v>-0.11524019163537487</v>
      </c>
      <c r="O52" s="30">
        <v>2.6315789473684206E-2</v>
      </c>
      <c r="P52" s="31">
        <v>-4.3321299638989152E-3</v>
      </c>
      <c r="Q52" s="12"/>
      <c r="S52" s="19" t="s">
        <v>144</v>
      </c>
      <c r="T52" s="17">
        <f>MEDIAN(T3:T46)</f>
        <v>10690.414517923127</v>
      </c>
      <c r="U52" s="17">
        <f t="shared" ref="U52:AB52" si="37">MEDIAN(U3:U46)</f>
        <v>104.37392999032907</v>
      </c>
      <c r="V52" s="17">
        <f t="shared" si="37"/>
        <v>42.906976117636532</v>
      </c>
      <c r="W52" s="17">
        <f t="shared" si="37"/>
        <v>40.824410230858739</v>
      </c>
      <c r="X52" s="17">
        <f t="shared" si="37"/>
        <v>39.410033742980801</v>
      </c>
      <c r="Y52" s="17">
        <f t="shared" si="37"/>
        <v>68.379516019779331</v>
      </c>
      <c r="Z52" s="17">
        <f t="shared" si="37"/>
        <v>442.68990207809537</v>
      </c>
      <c r="AA52" s="17">
        <f t="shared" si="37"/>
        <v>110.47329713806759</v>
      </c>
      <c r="AB52" s="17">
        <f t="shared" si="37"/>
        <v>7.0208322100681428</v>
      </c>
      <c r="AC52" s="17"/>
      <c r="AD52" s="17"/>
      <c r="AE52" s="17"/>
      <c r="AG52" s="19" t="s">
        <v>144</v>
      </c>
      <c r="AH52" s="24">
        <f t="shared" ref="AH52:AP52" si="38">MEDIAN(AH3:AH46)</f>
        <v>1</v>
      </c>
      <c r="AI52" s="24">
        <f t="shared" si="38"/>
        <v>7.2209663762181195</v>
      </c>
      <c r="AJ52" s="24">
        <f t="shared" si="38"/>
        <v>4.7633161331383533</v>
      </c>
      <c r="AK52" s="24">
        <f t="shared" si="38"/>
        <v>1.9121128198945383</v>
      </c>
      <c r="AL52" s="24">
        <f t="shared" si="38"/>
        <v>7.3640772274811575</v>
      </c>
      <c r="AM52" s="24">
        <f t="shared" si="38"/>
        <v>5.2149754151543171</v>
      </c>
      <c r="AN52" s="24">
        <f t="shared" si="38"/>
        <v>2.1818147302037247</v>
      </c>
      <c r="AO52" s="24">
        <f t="shared" si="38"/>
        <v>62.531793479113929</v>
      </c>
      <c r="AP52" s="24">
        <f t="shared" si="38"/>
        <v>206.38020120150651</v>
      </c>
    </row>
    <row r="55" spans="1:42" x14ac:dyDescent="0.3">
      <c r="G55" s="10"/>
    </row>
  </sheetData>
  <sortState ref="AS5:AX13">
    <sortCondition ref="AT5:AT13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6"/>
  <sheetViews>
    <sheetView zoomScale="74" zoomScaleNormal="74" workbookViewId="0">
      <pane xSplit="1" ySplit="2" topLeftCell="K39" activePane="bottomRight" state="frozen"/>
      <selection pane="topRight" activeCell="B1" sqref="B1"/>
      <selection pane="bottomLeft" activeCell="A3" sqref="A3"/>
      <selection pane="bottomRight" activeCell="U48" sqref="U48"/>
    </sheetView>
  </sheetViews>
  <sheetFormatPr defaultRowHeight="15.5" x14ac:dyDescent="0.35"/>
  <cols>
    <col min="1" max="1" width="12.7265625" style="37" customWidth="1"/>
    <col min="2" max="2" width="18.7265625" style="38" customWidth="1"/>
    <col min="3" max="3" width="16.26953125" style="38" customWidth="1"/>
    <col min="4" max="4" width="15.453125" style="38" customWidth="1"/>
    <col min="5" max="6" width="15.54296875" style="38" customWidth="1"/>
    <col min="7" max="7" width="12.7265625" style="38" customWidth="1"/>
    <col min="8" max="8" width="17.7265625" style="38" customWidth="1"/>
    <col min="9" max="9" width="26.26953125" style="38" customWidth="1"/>
    <col min="10" max="10" width="35.26953125" style="38" customWidth="1"/>
    <col min="11" max="11" width="14.26953125" style="38" customWidth="1"/>
    <col min="12" max="12" width="13.7265625" style="38" customWidth="1"/>
    <col min="13" max="13" width="8.453125" style="38" customWidth="1"/>
    <col min="14" max="14" width="17.26953125" style="38" customWidth="1"/>
    <col min="15" max="15" width="16.7265625" style="38" customWidth="1"/>
    <col min="16" max="16" width="36.7265625" style="6" customWidth="1"/>
    <col min="17" max="16384" width="8.7265625" style="6"/>
  </cols>
  <sheetData>
    <row r="1" spans="1:21" ht="18.5" x14ac:dyDescent="0.45">
      <c r="G1" s="39" t="s">
        <v>164</v>
      </c>
      <c r="H1" s="40"/>
      <c r="I1" s="40"/>
      <c r="K1" s="41" t="s">
        <v>165</v>
      </c>
      <c r="L1" s="42"/>
      <c r="M1" s="42"/>
      <c r="N1" s="42"/>
      <c r="O1" s="42"/>
    </row>
    <row r="2" spans="1:21" ht="30" x14ac:dyDescent="0.8">
      <c r="A2" s="43" t="s">
        <v>166</v>
      </c>
      <c r="B2" s="44" t="s">
        <v>167</v>
      </c>
      <c r="C2" s="44" t="s">
        <v>168</v>
      </c>
      <c r="D2" s="45" t="s">
        <v>169</v>
      </c>
      <c r="E2" s="45" t="s">
        <v>170</v>
      </c>
      <c r="F2" s="44" t="s">
        <v>171</v>
      </c>
      <c r="G2" s="46" t="s">
        <v>129</v>
      </c>
      <c r="H2" s="47" t="s">
        <v>172</v>
      </c>
      <c r="I2" s="48" t="s">
        <v>173</v>
      </c>
      <c r="J2" s="49" t="s">
        <v>174</v>
      </c>
      <c r="K2" s="50" t="s">
        <v>175</v>
      </c>
      <c r="L2" s="50" t="s">
        <v>176</v>
      </c>
      <c r="M2" s="51" t="s">
        <v>129</v>
      </c>
      <c r="N2" s="52" t="s">
        <v>177</v>
      </c>
      <c r="O2" s="52" t="s">
        <v>178</v>
      </c>
      <c r="P2" s="53" t="s">
        <v>179</v>
      </c>
      <c r="Q2" s="54"/>
      <c r="R2" s="54"/>
      <c r="S2" s="54"/>
      <c r="T2" s="54"/>
      <c r="U2" s="54"/>
    </row>
    <row r="3" spans="1:21" x14ac:dyDescent="0.35">
      <c r="A3" s="43">
        <v>1</v>
      </c>
      <c r="B3" s="55" t="s">
        <v>83</v>
      </c>
      <c r="C3" s="55" t="s">
        <v>180</v>
      </c>
      <c r="D3" s="55">
        <v>101</v>
      </c>
      <c r="E3" s="55">
        <v>97</v>
      </c>
      <c r="F3" s="55">
        <f>G3*100/1000</f>
        <v>1.04467</v>
      </c>
      <c r="G3" s="55">
        <f>13.4457-G53</f>
        <v>10.4467</v>
      </c>
      <c r="H3" s="55">
        <f>D3/F3</f>
        <v>96.681248623967377</v>
      </c>
      <c r="I3" s="56">
        <f>E3/F3</f>
        <v>92.852288282424112</v>
      </c>
      <c r="J3" s="57"/>
      <c r="K3" s="58">
        <v>93</v>
      </c>
      <c r="L3" s="58">
        <v>90</v>
      </c>
      <c r="M3" s="59">
        <v>13.9953</v>
      </c>
      <c r="N3" s="59">
        <v>66.5</v>
      </c>
      <c r="O3" s="59">
        <v>64</v>
      </c>
      <c r="P3" s="60">
        <f>(N3-O3)/N3</f>
        <v>3.7593984962406013E-2</v>
      </c>
      <c r="Q3" s="54"/>
      <c r="R3" s="54"/>
      <c r="S3" s="54"/>
      <c r="T3" s="54"/>
      <c r="U3" s="54"/>
    </row>
    <row r="4" spans="1:21" x14ac:dyDescent="0.35">
      <c r="A4" s="43">
        <v>2</v>
      </c>
      <c r="B4" s="55" t="s">
        <v>83</v>
      </c>
      <c r="C4" s="55" t="s">
        <v>180</v>
      </c>
      <c r="D4" s="55">
        <v>366</v>
      </c>
      <c r="E4" s="55">
        <v>363</v>
      </c>
      <c r="F4" s="55">
        <f t="shared" ref="F4:F46" si="0">G4*100/1000</f>
        <v>1.1331500000000001</v>
      </c>
      <c r="G4" s="55">
        <f>14.3305-G53</f>
        <v>11.3315</v>
      </c>
      <c r="H4" s="55">
        <f t="shared" ref="H4:H46" si="1">D4/F4</f>
        <v>322.99342540705112</v>
      </c>
      <c r="I4" s="56">
        <f t="shared" ref="I4:I46" si="2">E4/F4</f>
        <v>320.34593831355068</v>
      </c>
      <c r="J4" s="57"/>
      <c r="K4" s="58">
        <v>284</v>
      </c>
      <c r="L4" s="58">
        <v>281</v>
      </c>
      <c r="M4" s="59">
        <v>13.764099999999999</v>
      </c>
      <c r="N4" s="59">
        <v>206.8</v>
      </c>
      <c r="O4" s="59">
        <v>204.2</v>
      </c>
      <c r="P4" s="60">
        <f t="shared" ref="P4:P46" si="3">(N4-O4)/N4</f>
        <v>1.2572533849129703E-2</v>
      </c>
      <c r="Q4" s="54"/>
      <c r="R4" s="54"/>
      <c r="S4" s="54"/>
      <c r="T4" s="54"/>
      <c r="U4" s="54"/>
    </row>
    <row r="5" spans="1:21" x14ac:dyDescent="0.35">
      <c r="A5" s="43">
        <v>3</v>
      </c>
      <c r="B5" s="55" t="s">
        <v>83</v>
      </c>
      <c r="C5" s="55" t="s">
        <v>180</v>
      </c>
      <c r="D5" s="55">
        <v>82</v>
      </c>
      <c r="E5" s="55">
        <v>77</v>
      </c>
      <c r="F5" s="55">
        <f t="shared" si="0"/>
        <v>1.05155</v>
      </c>
      <c r="G5" s="55">
        <f>13.5145-G53</f>
        <v>10.515499999999999</v>
      </c>
      <c r="H5" s="55">
        <f t="shared" si="1"/>
        <v>77.980124578003895</v>
      </c>
      <c r="I5" s="56">
        <f t="shared" si="2"/>
        <v>73.225238933003666</v>
      </c>
      <c r="J5" s="57"/>
      <c r="K5" s="58">
        <v>73</v>
      </c>
      <c r="L5" s="58">
        <v>71</v>
      </c>
      <c r="M5" s="59">
        <v>11.579000000000001</v>
      </c>
      <c r="N5" s="59">
        <v>63</v>
      </c>
      <c r="O5" s="59">
        <v>61.3</v>
      </c>
      <c r="P5" s="60">
        <f t="shared" si="3"/>
        <v>2.6984126984127031E-2</v>
      </c>
      <c r="Q5" s="54"/>
      <c r="R5" s="54"/>
      <c r="S5" s="54"/>
      <c r="T5" s="54"/>
      <c r="U5" s="54"/>
    </row>
    <row r="6" spans="1:21" x14ac:dyDescent="0.35">
      <c r="A6" s="43">
        <v>4</v>
      </c>
      <c r="B6" s="55" t="s">
        <v>103</v>
      </c>
      <c r="C6" s="55" t="s">
        <v>180</v>
      </c>
      <c r="D6" s="55">
        <v>161</v>
      </c>
      <c r="E6" s="55">
        <v>158</v>
      </c>
      <c r="F6" s="55">
        <f t="shared" si="0"/>
        <v>1.1208499999999999</v>
      </c>
      <c r="G6" s="55">
        <f>14.2075-G53</f>
        <v>11.208499999999999</v>
      </c>
      <c r="H6" s="55">
        <f t="shared" si="1"/>
        <v>143.64098675112638</v>
      </c>
      <c r="I6" s="56">
        <f t="shared" si="2"/>
        <v>140.964446625329</v>
      </c>
      <c r="J6" s="57"/>
      <c r="K6" s="58">
        <v>102</v>
      </c>
      <c r="L6" s="58">
        <v>101</v>
      </c>
      <c r="M6" s="59">
        <v>14.407500000000001</v>
      </c>
      <c r="N6" s="59">
        <v>70.8</v>
      </c>
      <c r="O6" s="59">
        <v>70.099999999999994</v>
      </c>
      <c r="P6" s="60">
        <f t="shared" si="3"/>
        <v>9.8870056497175549E-3</v>
      </c>
      <c r="Q6" s="54"/>
      <c r="R6" s="54"/>
      <c r="S6" s="54"/>
      <c r="T6" s="54"/>
      <c r="U6" s="54"/>
    </row>
    <row r="7" spans="1:21" x14ac:dyDescent="0.35">
      <c r="A7" s="43">
        <v>5</v>
      </c>
      <c r="B7" s="55" t="s">
        <v>85</v>
      </c>
      <c r="C7" s="55">
        <v>1</v>
      </c>
      <c r="D7" s="55">
        <v>317</v>
      </c>
      <c r="E7" s="55">
        <v>310</v>
      </c>
      <c r="F7" s="55">
        <f t="shared" si="0"/>
        <v>1.1717899999999999</v>
      </c>
      <c r="G7" s="55">
        <f>14.7169-G53</f>
        <v>11.7179</v>
      </c>
      <c r="H7" s="55">
        <f t="shared" si="1"/>
        <v>270.52628884015058</v>
      </c>
      <c r="I7" s="56">
        <f t="shared" si="2"/>
        <v>264.55252220961097</v>
      </c>
      <c r="J7" s="57"/>
      <c r="K7" s="58">
        <v>207</v>
      </c>
      <c r="L7" s="58">
        <v>201</v>
      </c>
      <c r="M7" s="59">
        <v>12.4041</v>
      </c>
      <c r="N7" s="59">
        <v>166.9</v>
      </c>
      <c r="O7" s="59">
        <v>162.19999999999999</v>
      </c>
      <c r="P7" s="60">
        <f t="shared" si="3"/>
        <v>2.8160575194727484E-2</v>
      </c>
      <c r="Q7" s="54"/>
      <c r="R7" s="54"/>
      <c r="S7" s="54"/>
      <c r="T7" s="54"/>
      <c r="U7" s="54"/>
    </row>
    <row r="8" spans="1:21" x14ac:dyDescent="0.35">
      <c r="A8" s="43">
        <v>6</v>
      </c>
      <c r="B8" s="55" t="s">
        <v>106</v>
      </c>
      <c r="C8" s="55">
        <v>1</v>
      </c>
      <c r="D8" s="55">
        <v>146</v>
      </c>
      <c r="E8" s="55">
        <v>143</v>
      </c>
      <c r="F8" s="55">
        <f t="shared" si="0"/>
        <v>1.1713199999999999</v>
      </c>
      <c r="G8" s="55">
        <f>14.7122-G53</f>
        <v>11.713199999999999</v>
      </c>
      <c r="H8" s="55">
        <f t="shared" si="1"/>
        <v>124.64569886965134</v>
      </c>
      <c r="I8" s="56">
        <f t="shared" si="2"/>
        <v>122.08448587917906</v>
      </c>
      <c r="J8" s="57"/>
      <c r="K8" s="58">
        <v>52</v>
      </c>
      <c r="L8" s="58">
        <v>50</v>
      </c>
      <c r="M8" s="59">
        <v>13.2158</v>
      </c>
      <c r="N8" s="59">
        <v>39.299999999999997</v>
      </c>
      <c r="O8" s="59">
        <v>37.9</v>
      </c>
      <c r="P8" s="60">
        <f>(N8-O8)/N8</f>
        <v>3.562340966921116E-2</v>
      </c>
      <c r="Q8" s="54"/>
      <c r="R8" s="54"/>
      <c r="S8" s="54"/>
      <c r="T8" s="54"/>
      <c r="U8" s="54"/>
    </row>
    <row r="9" spans="1:21" x14ac:dyDescent="0.35">
      <c r="A9" s="43">
        <v>7</v>
      </c>
      <c r="B9" s="55" t="s">
        <v>87</v>
      </c>
      <c r="C9" s="55">
        <v>1</v>
      </c>
      <c r="D9" s="55">
        <v>174</v>
      </c>
      <c r="E9" s="55">
        <v>171</v>
      </c>
      <c r="F9" s="55">
        <f t="shared" si="0"/>
        <v>1.12181</v>
      </c>
      <c r="G9" s="55">
        <f>14.2171-G53</f>
        <v>11.2181</v>
      </c>
      <c r="H9" s="55">
        <f t="shared" si="1"/>
        <v>155.10647970690223</v>
      </c>
      <c r="I9" s="56">
        <f t="shared" si="2"/>
        <v>152.43223005678323</v>
      </c>
      <c r="J9" s="57"/>
      <c r="K9" s="58">
        <v>118</v>
      </c>
      <c r="L9" s="58">
        <v>113</v>
      </c>
      <c r="M9" s="59">
        <v>12.653</v>
      </c>
      <c r="N9" s="59">
        <v>93.3</v>
      </c>
      <c r="O9" s="59">
        <v>89.3</v>
      </c>
      <c r="P9" s="60">
        <f t="shared" si="3"/>
        <v>4.2872454448017148E-2</v>
      </c>
      <c r="Q9" s="54"/>
      <c r="R9" s="54"/>
      <c r="S9" s="54"/>
      <c r="T9" s="54"/>
      <c r="U9" s="54"/>
    </row>
    <row r="10" spans="1:21" x14ac:dyDescent="0.35">
      <c r="A10" s="43">
        <v>8</v>
      </c>
      <c r="B10" s="55" t="s">
        <v>87</v>
      </c>
      <c r="C10" s="55">
        <v>20</v>
      </c>
      <c r="D10" s="55">
        <v>276</v>
      </c>
      <c r="E10" s="55">
        <v>270</v>
      </c>
      <c r="F10" s="55">
        <f t="shared" si="0"/>
        <v>0.48522999999999994</v>
      </c>
      <c r="G10" s="55">
        <f>15.299-G3</f>
        <v>4.8522999999999996</v>
      </c>
      <c r="H10" s="55">
        <f t="shared" si="1"/>
        <v>568.80242359293538</v>
      </c>
      <c r="I10" s="56">
        <f t="shared" si="2"/>
        <v>556.43715351482808</v>
      </c>
      <c r="J10" s="57"/>
      <c r="K10" s="58">
        <v>208</v>
      </c>
      <c r="L10" s="58">
        <v>206</v>
      </c>
      <c r="M10" s="59">
        <v>12.987500000000001</v>
      </c>
      <c r="N10" s="59">
        <v>160.19999999999999</v>
      </c>
      <c r="O10" s="59">
        <v>158.6</v>
      </c>
      <c r="P10" s="60">
        <f t="shared" si="3"/>
        <v>9.987515605493099E-3</v>
      </c>
      <c r="Q10" s="54"/>
      <c r="R10" s="54"/>
      <c r="S10" s="54"/>
      <c r="T10" s="54"/>
      <c r="U10" s="54"/>
    </row>
    <row r="11" spans="1:21" x14ac:dyDescent="0.35">
      <c r="A11" s="43">
        <v>9</v>
      </c>
      <c r="B11" s="55" t="s">
        <v>87</v>
      </c>
      <c r="C11" s="55">
        <v>50</v>
      </c>
      <c r="D11" s="55">
        <v>75</v>
      </c>
      <c r="E11" s="55">
        <v>71</v>
      </c>
      <c r="F11" s="55">
        <f t="shared" si="0"/>
        <v>1.11408</v>
      </c>
      <c r="G11" s="55">
        <f>14.1398-G53</f>
        <v>11.140799999999999</v>
      </c>
      <c r="H11" s="55">
        <f t="shared" si="1"/>
        <v>67.320120637656188</v>
      </c>
      <c r="I11" s="56">
        <f t="shared" si="2"/>
        <v>63.729714203647852</v>
      </c>
      <c r="J11" s="57"/>
      <c r="K11" s="58">
        <v>106</v>
      </c>
      <c r="L11" s="58">
        <v>102</v>
      </c>
      <c r="M11" s="59">
        <v>11.614100000000001</v>
      </c>
      <c r="N11" s="59">
        <v>91.3</v>
      </c>
      <c r="O11" s="59">
        <v>87.8</v>
      </c>
      <c r="P11" s="60">
        <f t="shared" si="3"/>
        <v>3.8335158817086532E-2</v>
      </c>
      <c r="Q11" s="54"/>
      <c r="R11" s="54"/>
      <c r="S11" s="54"/>
      <c r="T11" s="54"/>
      <c r="U11" s="54"/>
    </row>
    <row r="12" spans="1:21" x14ac:dyDescent="0.35">
      <c r="A12" s="43">
        <v>10</v>
      </c>
      <c r="B12" s="55" t="s">
        <v>87</v>
      </c>
      <c r="C12" s="55">
        <v>70</v>
      </c>
      <c r="D12" s="55">
        <v>93</v>
      </c>
      <c r="E12" s="55">
        <v>88</v>
      </c>
      <c r="F12" s="55">
        <f t="shared" si="0"/>
        <v>1.31114</v>
      </c>
      <c r="G12" s="55">
        <f>16.1104-G53</f>
        <v>13.111399999999998</v>
      </c>
      <c r="H12" s="55">
        <f t="shared" si="1"/>
        <v>70.93064051131077</v>
      </c>
      <c r="I12" s="56">
        <f t="shared" si="2"/>
        <v>67.117165215003737</v>
      </c>
      <c r="J12" s="57"/>
      <c r="K12" s="58">
        <v>110</v>
      </c>
      <c r="L12" s="58">
        <v>104</v>
      </c>
      <c r="M12" s="59">
        <v>12.373900000000001</v>
      </c>
      <c r="N12" s="59">
        <v>88.9</v>
      </c>
      <c r="O12" s="59">
        <v>84</v>
      </c>
      <c r="P12" s="60">
        <f t="shared" si="3"/>
        <v>5.5118110236220534E-2</v>
      </c>
      <c r="Q12" s="54"/>
      <c r="R12" s="54"/>
      <c r="S12" s="54"/>
      <c r="T12" s="54"/>
      <c r="U12" s="54"/>
    </row>
    <row r="13" spans="1:21" x14ac:dyDescent="0.35">
      <c r="A13" s="43">
        <v>11</v>
      </c>
      <c r="B13" s="55" t="s">
        <v>87</v>
      </c>
      <c r="C13" s="55">
        <v>100</v>
      </c>
      <c r="D13" s="55">
        <v>140</v>
      </c>
      <c r="E13" s="55">
        <v>129</v>
      </c>
      <c r="F13" s="55">
        <f t="shared" si="0"/>
        <v>1.06867</v>
      </c>
      <c r="G13" s="55">
        <f>13.6857-G53</f>
        <v>10.6867</v>
      </c>
      <c r="H13" s="55">
        <f t="shared" si="1"/>
        <v>131.00395819102249</v>
      </c>
      <c r="I13" s="56">
        <f t="shared" si="2"/>
        <v>120.71079004744215</v>
      </c>
      <c r="J13" s="57"/>
      <c r="K13" s="58">
        <v>155</v>
      </c>
      <c r="L13" s="58">
        <v>143</v>
      </c>
      <c r="M13" s="59">
        <v>12.795</v>
      </c>
      <c r="N13" s="59">
        <v>121.1</v>
      </c>
      <c r="O13" s="59">
        <v>111.8</v>
      </c>
      <c r="P13" s="60">
        <f t="shared" si="3"/>
        <v>7.6796036333608569E-2</v>
      </c>
      <c r="Q13" s="54"/>
      <c r="R13" s="54"/>
      <c r="S13" s="54"/>
      <c r="T13" s="54"/>
      <c r="U13" s="54"/>
    </row>
    <row r="14" spans="1:21" x14ac:dyDescent="0.35">
      <c r="A14" s="43">
        <v>12</v>
      </c>
      <c r="B14" s="55" t="s">
        <v>109</v>
      </c>
      <c r="C14" s="55">
        <v>1</v>
      </c>
      <c r="D14" s="55">
        <v>226</v>
      </c>
      <c r="E14" s="55">
        <v>222</v>
      </c>
      <c r="F14" s="55">
        <f t="shared" si="0"/>
        <v>1.1883599999999999</v>
      </c>
      <c r="G14" s="55">
        <f>14.8826-G53</f>
        <v>11.883599999999999</v>
      </c>
      <c r="H14" s="55">
        <f t="shared" si="1"/>
        <v>190.17806052038105</v>
      </c>
      <c r="I14" s="56">
        <f t="shared" si="2"/>
        <v>186.81207714833891</v>
      </c>
      <c r="J14" s="57"/>
      <c r="K14" s="58">
        <v>118</v>
      </c>
      <c r="L14" s="58">
        <v>118</v>
      </c>
      <c r="M14" s="59">
        <v>13.599500000000001</v>
      </c>
      <c r="N14" s="59">
        <v>86.6</v>
      </c>
      <c r="O14" s="59">
        <v>86.8</v>
      </c>
      <c r="P14" s="60">
        <f t="shared" si="3"/>
        <v>-2.3094688221709336E-3</v>
      </c>
      <c r="Q14" s="54"/>
      <c r="R14" s="54"/>
      <c r="S14" s="54"/>
      <c r="T14" s="54"/>
      <c r="U14" s="54"/>
    </row>
    <row r="15" spans="1:21" x14ac:dyDescent="0.35">
      <c r="A15" s="43">
        <v>13</v>
      </c>
      <c r="B15" s="55" t="s">
        <v>109</v>
      </c>
      <c r="C15" s="55">
        <v>20</v>
      </c>
      <c r="D15" s="55">
        <v>81</v>
      </c>
      <c r="E15" s="55">
        <v>80</v>
      </c>
      <c r="F15" s="55">
        <f t="shared" si="0"/>
        <v>1.11341</v>
      </c>
      <c r="G15" s="55">
        <f>14.1331-G53</f>
        <v>11.1341</v>
      </c>
      <c r="H15" s="55">
        <f t="shared" si="1"/>
        <v>72.749481323142419</v>
      </c>
      <c r="I15" s="56">
        <f t="shared" si="2"/>
        <v>71.851339578412265</v>
      </c>
      <c r="J15" s="57"/>
      <c r="K15" s="58">
        <v>19</v>
      </c>
      <c r="L15" s="58">
        <v>17</v>
      </c>
      <c r="M15" s="59">
        <v>13.135899999999999</v>
      </c>
      <c r="N15" s="59">
        <v>14.5</v>
      </c>
      <c r="O15" s="59">
        <v>12.9</v>
      </c>
      <c r="P15" s="60">
        <f t="shared" si="3"/>
        <v>0.11034482758620687</v>
      </c>
      <c r="Q15" s="54"/>
      <c r="R15" s="54"/>
      <c r="S15" s="54"/>
      <c r="T15" s="54"/>
      <c r="U15" s="54"/>
    </row>
    <row r="16" spans="1:21" x14ac:dyDescent="0.35">
      <c r="A16" s="43">
        <v>14</v>
      </c>
      <c r="B16" s="55" t="s">
        <v>109</v>
      </c>
      <c r="C16" s="55">
        <v>50</v>
      </c>
      <c r="D16" s="55">
        <v>36</v>
      </c>
      <c r="E16" s="55">
        <v>33</v>
      </c>
      <c r="F16" s="55">
        <f t="shared" si="0"/>
        <v>0.95587</v>
      </c>
      <c r="G16" s="55">
        <f>12.5577-G53</f>
        <v>9.5587</v>
      </c>
      <c r="H16" s="55">
        <f t="shared" si="1"/>
        <v>37.662025170786819</v>
      </c>
      <c r="I16" s="56">
        <f t="shared" si="2"/>
        <v>34.523523073221256</v>
      </c>
      <c r="J16" s="57"/>
      <c r="K16" s="58">
        <v>40</v>
      </c>
      <c r="L16" s="58">
        <v>38</v>
      </c>
      <c r="M16" s="59">
        <v>11.614800000000001</v>
      </c>
      <c r="N16" s="59">
        <v>34.5</v>
      </c>
      <c r="O16" s="59">
        <v>32.700000000000003</v>
      </c>
      <c r="P16" s="60">
        <f t="shared" si="3"/>
        <v>5.2173913043478182E-2</v>
      </c>
      <c r="Q16" s="54"/>
      <c r="R16" s="54"/>
      <c r="S16" s="54"/>
      <c r="T16" s="54"/>
      <c r="U16" s="54"/>
    </row>
    <row r="17" spans="1:21" x14ac:dyDescent="0.35">
      <c r="A17" s="43">
        <v>15</v>
      </c>
      <c r="B17" s="55" t="s">
        <v>109</v>
      </c>
      <c r="C17" s="55">
        <v>100</v>
      </c>
      <c r="D17" s="55">
        <v>90</v>
      </c>
      <c r="E17" s="55">
        <v>82</v>
      </c>
      <c r="F17" s="55">
        <f t="shared" si="0"/>
        <v>0.92569999999999997</v>
      </c>
      <c r="G17" s="55">
        <f>12.256-G53</f>
        <v>9.2569999999999997</v>
      </c>
      <c r="H17" s="55">
        <f t="shared" si="1"/>
        <v>97.223722588311546</v>
      </c>
      <c r="I17" s="56">
        <f t="shared" si="2"/>
        <v>88.581613913794968</v>
      </c>
      <c r="J17" s="57"/>
      <c r="K17" s="58">
        <v>98</v>
      </c>
      <c r="L17" s="58">
        <v>92</v>
      </c>
      <c r="M17" s="59">
        <v>9.9468999999999994</v>
      </c>
      <c r="N17" s="59">
        <v>98.9</v>
      </c>
      <c r="O17" s="59">
        <v>92.5</v>
      </c>
      <c r="P17" s="60">
        <f t="shared" si="3"/>
        <v>6.4711830131445963E-2</v>
      </c>
      <c r="Q17" s="54"/>
      <c r="R17" s="54"/>
      <c r="S17" s="54"/>
      <c r="T17" s="54"/>
      <c r="U17" s="54"/>
    </row>
    <row r="18" spans="1:21" x14ac:dyDescent="0.35">
      <c r="A18" s="43">
        <v>16</v>
      </c>
      <c r="B18" s="55" t="s">
        <v>89</v>
      </c>
      <c r="C18" s="55" t="s">
        <v>181</v>
      </c>
      <c r="D18" s="55">
        <v>84</v>
      </c>
      <c r="E18" s="55">
        <v>77</v>
      </c>
      <c r="F18" s="55">
        <f t="shared" si="0"/>
        <v>1.48403</v>
      </c>
      <c r="G18" s="55">
        <v>14.840299999999999</v>
      </c>
      <c r="H18" s="55">
        <f t="shared" si="1"/>
        <v>56.602629326900399</v>
      </c>
      <c r="I18" s="56">
        <f t="shared" si="2"/>
        <v>51.885743549658699</v>
      </c>
      <c r="J18" s="57"/>
      <c r="K18" s="58">
        <v>63</v>
      </c>
      <c r="L18" s="58">
        <v>62</v>
      </c>
      <c r="M18" s="59">
        <v>11.915800000000001</v>
      </c>
      <c r="N18" s="59">
        <v>52.9</v>
      </c>
      <c r="O18" s="59">
        <v>52</v>
      </c>
      <c r="P18" s="60">
        <f t="shared" si="3"/>
        <v>1.7013232514177669E-2</v>
      </c>
      <c r="Q18" s="54"/>
      <c r="R18" s="54"/>
      <c r="S18" s="54"/>
      <c r="T18" s="54"/>
      <c r="U18" s="54"/>
    </row>
    <row r="19" spans="1:21" x14ac:dyDescent="0.35">
      <c r="A19" s="43">
        <v>17</v>
      </c>
      <c r="B19" s="55" t="s">
        <v>111</v>
      </c>
      <c r="C19" s="55" t="s">
        <v>182</v>
      </c>
      <c r="D19" s="55">
        <v>173</v>
      </c>
      <c r="E19" s="55">
        <v>169</v>
      </c>
      <c r="F19" s="55">
        <f t="shared" si="0"/>
        <v>1.4460599999999999</v>
      </c>
      <c r="G19" s="55">
        <v>14.460599999999999</v>
      </c>
      <c r="H19" s="55">
        <f t="shared" si="1"/>
        <v>119.63542314980016</v>
      </c>
      <c r="I19" s="56">
        <f t="shared" si="2"/>
        <v>116.86928619835969</v>
      </c>
      <c r="J19" s="57"/>
      <c r="K19" s="58">
        <v>193</v>
      </c>
      <c r="L19" s="58">
        <v>188</v>
      </c>
      <c r="M19" s="59">
        <v>12.5609</v>
      </c>
      <c r="N19" s="59">
        <v>153.69999999999999</v>
      </c>
      <c r="O19" s="59">
        <v>149.69999999999999</v>
      </c>
      <c r="P19" s="60">
        <f t="shared" si="3"/>
        <v>2.602472348731295E-2</v>
      </c>
      <c r="Q19" s="54"/>
      <c r="R19" s="54"/>
      <c r="S19" s="54"/>
      <c r="T19" s="54"/>
      <c r="U19" s="54"/>
    </row>
    <row r="20" spans="1:21" x14ac:dyDescent="0.35">
      <c r="A20" s="43">
        <v>18</v>
      </c>
      <c r="B20" s="55" t="s">
        <v>91</v>
      </c>
      <c r="C20" s="55" t="s">
        <v>183</v>
      </c>
      <c r="D20" s="55">
        <v>135</v>
      </c>
      <c r="E20" s="55">
        <v>132</v>
      </c>
      <c r="F20" s="55">
        <f t="shared" si="0"/>
        <v>1.5068400000000002</v>
      </c>
      <c r="G20" s="55">
        <v>15.0684</v>
      </c>
      <c r="H20" s="55">
        <f t="shared" si="1"/>
        <v>89.591462929043544</v>
      </c>
      <c r="I20" s="56">
        <f t="shared" si="2"/>
        <v>87.600541530620362</v>
      </c>
      <c r="J20" s="57"/>
      <c r="K20" s="58">
        <v>68</v>
      </c>
      <c r="L20" s="58">
        <v>66</v>
      </c>
      <c r="M20" s="59">
        <v>11.181699999999999</v>
      </c>
      <c r="N20" s="59">
        <v>60.8</v>
      </c>
      <c r="O20" s="59">
        <v>59</v>
      </c>
      <c r="P20" s="60">
        <f t="shared" si="3"/>
        <v>2.960526315789469E-2</v>
      </c>
      <c r="Q20" s="54"/>
      <c r="R20" s="54"/>
      <c r="S20" s="54"/>
      <c r="T20" s="54"/>
      <c r="U20" s="54"/>
    </row>
    <row r="21" spans="1:21" x14ac:dyDescent="0.35">
      <c r="A21" s="43">
        <v>19</v>
      </c>
      <c r="B21" s="55" t="s">
        <v>113</v>
      </c>
      <c r="C21" s="55">
        <v>1</v>
      </c>
      <c r="D21" s="55">
        <v>150</v>
      </c>
      <c r="E21" s="55">
        <v>146</v>
      </c>
      <c r="F21" s="55">
        <f t="shared" si="0"/>
        <v>1.3638899999999998</v>
      </c>
      <c r="G21" s="55">
        <v>13.6389</v>
      </c>
      <c r="H21" s="55">
        <f t="shared" si="1"/>
        <v>109.97954380485231</v>
      </c>
      <c r="I21" s="56">
        <f t="shared" si="2"/>
        <v>107.04675597005625</v>
      </c>
      <c r="J21" s="57"/>
      <c r="K21" s="58">
        <v>146</v>
      </c>
      <c r="L21" s="58">
        <v>146</v>
      </c>
      <c r="M21" s="59">
        <v>12.084</v>
      </c>
      <c r="N21" s="59">
        <v>120.8</v>
      </c>
      <c r="O21" s="59">
        <v>120.8</v>
      </c>
      <c r="P21" s="60">
        <f t="shared" si="3"/>
        <v>0</v>
      </c>
      <c r="Q21" s="54"/>
      <c r="R21" s="54"/>
      <c r="S21" s="54"/>
      <c r="T21" s="54"/>
      <c r="U21" s="54"/>
    </row>
    <row r="22" spans="1:21" x14ac:dyDescent="0.35">
      <c r="A22" s="43">
        <v>20</v>
      </c>
      <c r="B22" s="55" t="s">
        <v>93</v>
      </c>
      <c r="C22" s="55">
        <v>1</v>
      </c>
      <c r="D22" s="55">
        <v>77</v>
      </c>
      <c r="E22" s="55">
        <v>74</v>
      </c>
      <c r="F22" s="55">
        <f t="shared" si="0"/>
        <v>1.3874000000000002</v>
      </c>
      <c r="G22" s="55">
        <v>13.874000000000001</v>
      </c>
      <c r="H22" s="55">
        <f t="shared" si="1"/>
        <v>55.499495459132184</v>
      </c>
      <c r="I22" s="56">
        <f t="shared" si="2"/>
        <v>53.337177454230925</v>
      </c>
      <c r="J22" s="57"/>
      <c r="K22" s="58">
        <v>70</v>
      </c>
      <c r="L22" s="58">
        <v>72</v>
      </c>
      <c r="M22" s="59">
        <v>10.4861</v>
      </c>
      <c r="N22" s="59">
        <v>66.8</v>
      </c>
      <c r="O22" s="59">
        <v>68.7</v>
      </c>
      <c r="P22" s="60">
        <f t="shared" si="3"/>
        <v>-2.8443113772455175E-2</v>
      </c>
      <c r="Q22" s="54"/>
      <c r="R22" s="54"/>
      <c r="S22" s="54"/>
      <c r="T22" s="54"/>
      <c r="U22" s="54"/>
    </row>
    <row r="23" spans="1:21" x14ac:dyDescent="0.35">
      <c r="A23" s="43">
        <v>21</v>
      </c>
      <c r="B23" s="55" t="s">
        <v>93</v>
      </c>
      <c r="C23" s="55">
        <v>10</v>
      </c>
      <c r="D23" s="55">
        <v>93</v>
      </c>
      <c r="E23" s="55">
        <v>86</v>
      </c>
      <c r="F23" s="55">
        <f t="shared" si="0"/>
        <v>1.2803000000000002</v>
      </c>
      <c r="G23" s="55">
        <v>12.803000000000001</v>
      </c>
      <c r="H23" s="55">
        <f t="shared" si="1"/>
        <v>72.63922518159805</v>
      </c>
      <c r="I23" s="56">
        <f t="shared" si="2"/>
        <v>67.171756619542279</v>
      </c>
      <c r="J23" s="57"/>
      <c r="K23" s="58">
        <v>82</v>
      </c>
      <c r="L23" s="58">
        <v>75</v>
      </c>
      <c r="M23" s="59">
        <v>8.4312000000000005</v>
      </c>
      <c r="N23" s="59">
        <v>97.3</v>
      </c>
      <c r="O23" s="59">
        <v>89</v>
      </c>
      <c r="P23" s="60">
        <f t="shared" si="3"/>
        <v>8.5303186022610458E-2</v>
      </c>
      <c r="Q23" s="54"/>
      <c r="R23" s="54"/>
      <c r="S23" s="54"/>
      <c r="T23" s="54"/>
      <c r="U23" s="54"/>
    </row>
    <row r="24" spans="1:21" x14ac:dyDescent="0.35">
      <c r="A24" s="43">
        <v>22</v>
      </c>
      <c r="B24" s="55" t="s">
        <v>93</v>
      </c>
      <c r="C24" s="55">
        <v>50</v>
      </c>
      <c r="D24" s="55">
        <v>74</v>
      </c>
      <c r="E24" s="55">
        <v>69</v>
      </c>
      <c r="F24" s="55">
        <f t="shared" si="0"/>
        <v>1.5011799999999997</v>
      </c>
      <c r="G24" s="55">
        <v>15.011799999999999</v>
      </c>
      <c r="H24" s="55">
        <f t="shared" si="1"/>
        <v>49.294554950105926</v>
      </c>
      <c r="I24" s="56">
        <f t="shared" si="2"/>
        <v>45.96384177780147</v>
      </c>
      <c r="J24" s="57"/>
      <c r="K24" s="58">
        <v>85</v>
      </c>
      <c r="L24" s="58">
        <v>78</v>
      </c>
      <c r="M24" s="59">
        <v>10.75</v>
      </c>
      <c r="N24" s="59">
        <v>79.099999999999994</v>
      </c>
      <c r="O24" s="59">
        <v>72.599999999999994</v>
      </c>
      <c r="P24" s="60">
        <f t="shared" si="3"/>
        <v>8.2174462705436158E-2</v>
      </c>
      <c r="Q24" s="54"/>
      <c r="R24" s="54"/>
      <c r="S24" s="54"/>
      <c r="T24" s="54"/>
      <c r="U24" s="54"/>
    </row>
    <row r="25" spans="1:21" x14ac:dyDescent="0.35">
      <c r="A25" s="43">
        <v>23</v>
      </c>
      <c r="B25" s="55" t="s">
        <v>93</v>
      </c>
      <c r="C25" s="55">
        <v>100</v>
      </c>
      <c r="D25" s="55">
        <v>97</v>
      </c>
      <c r="E25" s="55">
        <v>92</v>
      </c>
      <c r="F25" s="55">
        <f t="shared" si="0"/>
        <v>1.29881</v>
      </c>
      <c r="G25" s="55">
        <v>12.988099999999999</v>
      </c>
      <c r="H25" s="55">
        <f t="shared" si="1"/>
        <v>74.683748970211198</v>
      </c>
      <c r="I25" s="56">
        <f t="shared" si="2"/>
        <v>70.834071188241538</v>
      </c>
      <c r="J25" s="57"/>
      <c r="K25" s="59">
        <v>120</v>
      </c>
      <c r="L25" s="59">
        <v>111</v>
      </c>
      <c r="M25" s="59">
        <v>10.685</v>
      </c>
      <c r="N25" s="59">
        <v>112.3</v>
      </c>
      <c r="O25" s="59">
        <v>103.9</v>
      </c>
      <c r="P25" s="60">
        <f t="shared" si="3"/>
        <v>7.4799643811219868E-2</v>
      </c>
      <c r="Q25" s="54"/>
      <c r="R25" s="54"/>
      <c r="S25" s="54"/>
      <c r="T25" s="54"/>
      <c r="U25" s="54"/>
    </row>
    <row r="26" spans="1:21" x14ac:dyDescent="0.35">
      <c r="A26" s="43">
        <v>24</v>
      </c>
      <c r="B26" s="55" t="s">
        <v>93</v>
      </c>
      <c r="C26" s="55">
        <v>150</v>
      </c>
      <c r="D26" s="55">
        <v>51</v>
      </c>
      <c r="E26" s="55">
        <v>48</v>
      </c>
      <c r="F26" s="55">
        <f t="shared" si="0"/>
        <v>0.79997999999999991</v>
      </c>
      <c r="G26" s="55">
        <v>7.9997999999999996</v>
      </c>
      <c r="H26" s="55">
        <f t="shared" si="1"/>
        <v>63.751593789844755</v>
      </c>
      <c r="I26" s="56">
        <f t="shared" si="2"/>
        <v>60.001500037500946</v>
      </c>
      <c r="J26" s="57"/>
      <c r="K26" s="59"/>
      <c r="L26" s="59"/>
      <c r="M26" s="59"/>
      <c r="N26" s="59"/>
      <c r="O26" s="59"/>
      <c r="P26" s="60"/>
      <c r="Q26" s="54"/>
      <c r="R26" s="54"/>
      <c r="S26" s="54"/>
      <c r="T26" s="54"/>
      <c r="U26" s="54"/>
    </row>
    <row r="27" spans="1:21" x14ac:dyDescent="0.35">
      <c r="A27" s="43">
        <v>25</v>
      </c>
      <c r="B27" s="55" t="s">
        <v>93</v>
      </c>
      <c r="C27" s="55">
        <v>200</v>
      </c>
      <c r="D27" s="55">
        <v>77</v>
      </c>
      <c r="E27" s="55">
        <v>71</v>
      </c>
      <c r="F27" s="55">
        <f t="shared" si="0"/>
        <v>1.3028</v>
      </c>
      <c r="G27" s="55">
        <v>13.028</v>
      </c>
      <c r="H27" s="55">
        <f t="shared" si="1"/>
        <v>59.103469450414494</v>
      </c>
      <c r="I27" s="56">
        <f t="shared" si="2"/>
        <v>54.498004298434147</v>
      </c>
      <c r="J27" s="57"/>
      <c r="K27" s="59">
        <v>66</v>
      </c>
      <c r="L27" s="59">
        <v>71</v>
      </c>
      <c r="M27" s="59">
        <v>9.3366000000000007</v>
      </c>
      <c r="N27" s="59">
        <v>70.7</v>
      </c>
      <c r="O27" s="59">
        <v>76</v>
      </c>
      <c r="P27" s="60">
        <f t="shared" si="3"/>
        <v>-7.4964639321074916E-2</v>
      </c>
      <c r="Q27" s="54"/>
      <c r="R27" s="54"/>
      <c r="S27" s="54"/>
      <c r="T27" s="54"/>
      <c r="U27" s="54"/>
    </row>
    <row r="28" spans="1:21" s="68" customFormat="1" x14ac:dyDescent="0.35">
      <c r="A28" s="61">
        <v>26</v>
      </c>
      <c r="B28" s="62" t="s">
        <v>116</v>
      </c>
      <c r="C28" s="62">
        <v>1</v>
      </c>
      <c r="D28" s="62">
        <v>156</v>
      </c>
      <c r="E28" s="62">
        <v>152</v>
      </c>
      <c r="F28" s="62">
        <f t="shared" si="0"/>
        <v>1.3501099999999999</v>
      </c>
      <c r="G28" s="62">
        <v>13.501099999999999</v>
      </c>
      <c r="H28" s="62">
        <f t="shared" si="1"/>
        <v>115.54614068483309</v>
      </c>
      <c r="I28" s="63">
        <f t="shared" si="2"/>
        <v>112.58341912881173</v>
      </c>
      <c r="J28" s="64"/>
      <c r="K28" s="65">
        <v>150</v>
      </c>
      <c r="L28" s="65">
        <v>156</v>
      </c>
      <c r="M28" s="65">
        <v>11.5891</v>
      </c>
      <c r="N28" s="65">
        <v>129.4</v>
      </c>
      <c r="O28" s="65">
        <v>134.6</v>
      </c>
      <c r="P28" s="66">
        <f t="shared" si="3"/>
        <v>-4.018547140649141E-2</v>
      </c>
      <c r="Q28" s="67"/>
      <c r="R28" s="67"/>
      <c r="S28" s="67"/>
      <c r="T28" s="67"/>
      <c r="U28" s="67"/>
    </row>
    <row r="29" spans="1:21" s="68" customFormat="1" x14ac:dyDescent="0.35">
      <c r="A29" s="61">
        <v>27</v>
      </c>
      <c r="B29" s="62" t="s">
        <v>116</v>
      </c>
      <c r="C29" s="62">
        <v>10</v>
      </c>
      <c r="D29" s="62">
        <v>47</v>
      </c>
      <c r="E29" s="62">
        <v>44</v>
      </c>
      <c r="F29" s="62">
        <f t="shared" si="0"/>
        <v>1.3614600000000001</v>
      </c>
      <c r="G29" s="62">
        <v>13.614599999999999</v>
      </c>
      <c r="H29" s="62">
        <f t="shared" si="1"/>
        <v>34.521763401054748</v>
      </c>
      <c r="I29" s="63">
        <f t="shared" si="2"/>
        <v>32.318246588221463</v>
      </c>
      <c r="J29" s="64"/>
      <c r="K29" s="65">
        <v>18</v>
      </c>
      <c r="L29" s="65">
        <v>17</v>
      </c>
      <c r="M29" s="65">
        <v>13.8294</v>
      </c>
      <c r="N29" s="65">
        <v>13</v>
      </c>
      <c r="O29" s="65">
        <v>12.3</v>
      </c>
      <c r="P29" s="66">
        <f t="shared" si="3"/>
        <v>5.3846153846153794E-2</v>
      </c>
      <c r="Q29" s="67"/>
      <c r="R29" s="67"/>
      <c r="S29" s="67"/>
      <c r="T29" s="67"/>
      <c r="U29" s="67"/>
    </row>
    <row r="30" spans="1:21" s="68" customFormat="1" x14ac:dyDescent="0.35">
      <c r="A30" s="61">
        <v>28</v>
      </c>
      <c r="B30" s="62" t="s">
        <v>116</v>
      </c>
      <c r="C30" s="62">
        <v>20</v>
      </c>
      <c r="D30" s="62">
        <v>92</v>
      </c>
      <c r="E30" s="62">
        <v>84</v>
      </c>
      <c r="F30" s="62">
        <f t="shared" si="0"/>
        <v>1.3378099999999999</v>
      </c>
      <c r="G30" s="62">
        <v>13.3781</v>
      </c>
      <c r="H30" s="62">
        <f t="shared" si="1"/>
        <v>68.769107720827321</v>
      </c>
      <c r="I30" s="63">
        <f t="shared" si="2"/>
        <v>62.789185310320605</v>
      </c>
      <c r="J30" s="64"/>
      <c r="K30" s="65">
        <v>86</v>
      </c>
      <c r="L30" s="65">
        <v>79</v>
      </c>
      <c r="M30" s="65">
        <v>10.988899999999999</v>
      </c>
      <c r="N30" s="65">
        <v>78.3</v>
      </c>
      <c r="O30" s="65">
        <v>71.900000000000006</v>
      </c>
      <c r="P30" s="66">
        <f t="shared" si="3"/>
        <v>8.1736909323116114E-2</v>
      </c>
      <c r="Q30" s="67"/>
      <c r="R30" s="67"/>
      <c r="S30" s="67"/>
      <c r="T30" s="67"/>
      <c r="U30" s="67"/>
    </row>
    <row r="31" spans="1:21" s="68" customFormat="1" x14ac:dyDescent="0.35">
      <c r="A31" s="61">
        <v>29</v>
      </c>
      <c r="B31" s="62" t="s">
        <v>116</v>
      </c>
      <c r="C31" s="62">
        <v>50</v>
      </c>
      <c r="D31" s="62">
        <v>84</v>
      </c>
      <c r="E31" s="62">
        <v>79</v>
      </c>
      <c r="F31" s="62">
        <f t="shared" si="0"/>
        <v>1.43167</v>
      </c>
      <c r="G31" s="62">
        <v>14.316700000000001</v>
      </c>
      <c r="H31" s="62">
        <f t="shared" si="1"/>
        <v>58.67273882947886</v>
      </c>
      <c r="I31" s="63">
        <f t="shared" si="2"/>
        <v>55.180313899152736</v>
      </c>
      <c r="J31" s="64"/>
      <c r="K31" s="65">
        <v>89</v>
      </c>
      <c r="L31" s="65">
        <v>86</v>
      </c>
      <c r="M31" s="65">
        <v>10.88</v>
      </c>
      <c r="N31" s="65">
        <v>81.8</v>
      </c>
      <c r="O31" s="65">
        <f t="shared" ref="O31" si="4">ROUND(L31/M31,2)</f>
        <v>7.9</v>
      </c>
      <c r="P31" s="66">
        <f t="shared" si="3"/>
        <v>0.90342298288508549</v>
      </c>
      <c r="Q31" s="67"/>
      <c r="R31" s="67"/>
      <c r="S31" s="67"/>
      <c r="T31" s="67"/>
      <c r="U31" s="67"/>
    </row>
    <row r="32" spans="1:21" s="68" customFormat="1" x14ac:dyDescent="0.35">
      <c r="A32" s="61">
        <v>30</v>
      </c>
      <c r="B32" s="62" t="s">
        <v>116</v>
      </c>
      <c r="C32" s="62">
        <v>70</v>
      </c>
      <c r="D32" s="62">
        <v>122</v>
      </c>
      <c r="E32" s="62">
        <v>115</v>
      </c>
      <c r="F32" s="62">
        <f t="shared" si="0"/>
        <v>1.2362599999999999</v>
      </c>
      <c r="G32" s="62">
        <v>12.3626</v>
      </c>
      <c r="H32" s="62">
        <f t="shared" si="1"/>
        <v>98.684742691666813</v>
      </c>
      <c r="I32" s="63">
        <f t="shared" si="2"/>
        <v>93.022503356899037</v>
      </c>
      <c r="J32" s="64"/>
      <c r="K32" s="65">
        <v>95</v>
      </c>
      <c r="L32" s="65">
        <v>89</v>
      </c>
      <c r="M32" s="65">
        <v>8.9487000000000005</v>
      </c>
      <c r="N32" s="65">
        <v>106.2</v>
      </c>
      <c r="O32" s="65">
        <v>79</v>
      </c>
      <c r="P32" s="66">
        <f t="shared" si="3"/>
        <v>0.25612052730696799</v>
      </c>
      <c r="Q32" s="67"/>
      <c r="R32" s="67"/>
      <c r="S32" s="67"/>
      <c r="T32" s="67"/>
      <c r="U32" s="67"/>
    </row>
    <row r="33" spans="1:21" x14ac:dyDescent="0.35">
      <c r="A33" s="43">
        <v>31</v>
      </c>
      <c r="B33" s="55" t="s">
        <v>96</v>
      </c>
      <c r="C33" s="55">
        <v>1</v>
      </c>
      <c r="D33" s="55">
        <v>52</v>
      </c>
      <c r="E33" s="55">
        <v>49</v>
      </c>
      <c r="F33" s="55">
        <f t="shared" si="0"/>
        <v>1.3355899999999998</v>
      </c>
      <c r="G33" s="55">
        <v>13.3559</v>
      </c>
      <c r="H33" s="55">
        <f t="shared" si="1"/>
        <v>38.934104028931038</v>
      </c>
      <c r="I33" s="56">
        <f t="shared" si="2"/>
        <v>36.687905719569635</v>
      </c>
      <c r="J33" s="57"/>
      <c r="K33" s="59">
        <v>57</v>
      </c>
      <c r="L33" s="59">
        <v>57</v>
      </c>
      <c r="M33" s="59">
        <v>15.404999999999999</v>
      </c>
      <c r="N33" s="59">
        <v>37</v>
      </c>
      <c r="O33" s="59">
        <v>37</v>
      </c>
      <c r="P33" s="60">
        <f t="shared" si="3"/>
        <v>0</v>
      </c>
      <c r="Q33" s="54"/>
      <c r="R33" s="54"/>
      <c r="S33" s="54"/>
      <c r="T33" s="54"/>
      <c r="U33" s="54"/>
    </row>
    <row r="34" spans="1:21" x14ac:dyDescent="0.35">
      <c r="A34" s="43">
        <v>32</v>
      </c>
      <c r="B34" s="55" t="s">
        <v>118</v>
      </c>
      <c r="C34" s="55">
        <v>1</v>
      </c>
      <c r="D34" s="55">
        <v>184</v>
      </c>
      <c r="E34" s="55">
        <v>181</v>
      </c>
      <c r="F34" s="55">
        <f t="shared" si="0"/>
        <v>1.45617</v>
      </c>
      <c r="G34" s="55">
        <v>14.5617</v>
      </c>
      <c r="H34" s="55">
        <f t="shared" si="1"/>
        <v>126.35887293379207</v>
      </c>
      <c r="I34" s="56">
        <f t="shared" si="2"/>
        <v>124.2986739185672</v>
      </c>
      <c r="J34" s="57"/>
      <c r="K34" s="59">
        <v>195</v>
      </c>
      <c r="L34" s="59">
        <v>191</v>
      </c>
      <c r="M34" s="59">
        <v>14.6617</v>
      </c>
      <c r="N34" s="59">
        <v>133</v>
      </c>
      <c r="O34" s="59">
        <v>130.30000000000001</v>
      </c>
      <c r="P34" s="60">
        <f t="shared" si="3"/>
        <v>2.0300751879699163E-2</v>
      </c>
      <c r="Q34" s="54"/>
      <c r="R34" s="54"/>
      <c r="S34" s="54"/>
      <c r="T34" s="54"/>
      <c r="U34" s="54"/>
    </row>
    <row r="35" spans="1:21" x14ac:dyDescent="0.35">
      <c r="A35" s="43">
        <v>33</v>
      </c>
      <c r="B35" s="55" t="s">
        <v>98</v>
      </c>
      <c r="C35" s="55">
        <v>1</v>
      </c>
      <c r="D35" s="55">
        <v>52</v>
      </c>
      <c r="E35" s="55">
        <v>50</v>
      </c>
      <c r="F35" s="55">
        <f t="shared" si="0"/>
        <v>1.37218</v>
      </c>
      <c r="G35" s="55">
        <v>13.7218</v>
      </c>
      <c r="H35" s="55">
        <f t="shared" si="1"/>
        <v>37.895902869885873</v>
      </c>
      <c r="I35" s="56">
        <f t="shared" si="2"/>
        <v>36.438368144121036</v>
      </c>
      <c r="J35" s="57"/>
      <c r="K35" s="59">
        <v>34</v>
      </c>
      <c r="L35" s="59">
        <v>31</v>
      </c>
      <c r="M35" s="59">
        <v>14.4762</v>
      </c>
      <c r="N35" s="59">
        <v>23.5</v>
      </c>
      <c r="O35" s="59">
        <v>21.4</v>
      </c>
      <c r="P35" s="60">
        <f t="shared" si="3"/>
        <v>8.9361702127659634E-2</v>
      </c>
      <c r="Q35" s="54"/>
      <c r="R35" s="54"/>
      <c r="S35" s="54"/>
      <c r="T35" s="54"/>
      <c r="U35" s="54"/>
    </row>
    <row r="36" spans="1:21" x14ac:dyDescent="0.35">
      <c r="A36" s="43">
        <v>34</v>
      </c>
      <c r="B36" s="55" t="s">
        <v>98</v>
      </c>
      <c r="C36" s="55" t="s">
        <v>184</v>
      </c>
      <c r="D36" s="55">
        <v>140</v>
      </c>
      <c r="E36" s="55">
        <v>139</v>
      </c>
      <c r="F36" s="55">
        <f t="shared" si="0"/>
        <v>1.36822</v>
      </c>
      <c r="G36" s="55">
        <v>13.6822</v>
      </c>
      <c r="H36" s="55">
        <f t="shared" si="1"/>
        <v>102.32272587741737</v>
      </c>
      <c r="I36" s="56">
        <f t="shared" si="2"/>
        <v>101.59184926400725</v>
      </c>
      <c r="J36" s="57"/>
      <c r="K36" s="59">
        <v>172</v>
      </c>
      <c r="L36" s="59">
        <v>167</v>
      </c>
      <c r="M36" s="59">
        <v>12.8253</v>
      </c>
      <c r="N36" s="59">
        <v>134.19999999999999</v>
      </c>
      <c r="O36" s="59">
        <v>130.19999999999999</v>
      </c>
      <c r="P36" s="60">
        <f t="shared" si="3"/>
        <v>2.9806259314456039E-2</v>
      </c>
      <c r="Q36" s="54"/>
      <c r="R36" s="54"/>
      <c r="S36" s="54"/>
      <c r="T36" s="54"/>
      <c r="U36" s="54"/>
    </row>
    <row r="37" spans="1:21" x14ac:dyDescent="0.35">
      <c r="A37" s="43">
        <v>35</v>
      </c>
      <c r="B37" s="55" t="s">
        <v>98</v>
      </c>
      <c r="C37" s="55">
        <v>100</v>
      </c>
      <c r="D37" s="55">
        <v>105</v>
      </c>
      <c r="E37" s="55">
        <v>100</v>
      </c>
      <c r="F37" s="55">
        <f t="shared" si="0"/>
        <v>1.4528800000000002</v>
      </c>
      <c r="G37" s="55">
        <v>14.5288</v>
      </c>
      <c r="H37" s="55">
        <f t="shared" si="1"/>
        <v>72.270249435603759</v>
      </c>
      <c r="I37" s="56">
        <f t="shared" si="2"/>
        <v>68.828808986289289</v>
      </c>
      <c r="J37" s="57"/>
      <c r="K37" s="59">
        <v>104</v>
      </c>
      <c r="L37" s="59">
        <v>95</v>
      </c>
      <c r="M37" s="59">
        <v>10.198</v>
      </c>
      <c r="N37" s="59">
        <v>102</v>
      </c>
      <c r="O37" s="59">
        <v>93.3</v>
      </c>
      <c r="P37" s="60">
        <f t="shared" si="3"/>
        <v>8.5294117647058854E-2</v>
      </c>
      <c r="Q37" s="54"/>
      <c r="R37" s="54"/>
      <c r="S37" s="54"/>
      <c r="T37" s="54"/>
      <c r="U37" s="54"/>
    </row>
    <row r="38" spans="1:21" x14ac:dyDescent="0.35">
      <c r="A38" s="43">
        <v>36</v>
      </c>
      <c r="B38" s="55" t="s">
        <v>98</v>
      </c>
      <c r="C38" s="55">
        <v>150</v>
      </c>
      <c r="D38" s="55">
        <v>103</v>
      </c>
      <c r="E38" s="55">
        <v>99</v>
      </c>
      <c r="F38" s="55">
        <f t="shared" si="0"/>
        <v>1.43353</v>
      </c>
      <c r="G38" s="55">
        <v>14.3353</v>
      </c>
      <c r="H38" s="55">
        <f t="shared" si="1"/>
        <v>71.850606544683401</v>
      </c>
      <c r="I38" s="56">
        <f t="shared" si="2"/>
        <v>69.060291727414153</v>
      </c>
      <c r="J38" s="57"/>
      <c r="K38" s="59">
        <v>103</v>
      </c>
      <c r="L38" s="59">
        <v>97</v>
      </c>
      <c r="M38" s="59">
        <v>10.241400000000001</v>
      </c>
      <c r="N38" s="59">
        <v>100.6</v>
      </c>
      <c r="O38" s="59">
        <v>94.7</v>
      </c>
      <c r="P38" s="60">
        <f t="shared" si="3"/>
        <v>5.8648111332007868E-2</v>
      </c>
      <c r="Q38" s="54"/>
      <c r="R38" s="54"/>
      <c r="S38" s="54"/>
      <c r="T38" s="54"/>
      <c r="U38" s="54"/>
    </row>
    <row r="39" spans="1:21" x14ac:dyDescent="0.35">
      <c r="A39" s="43">
        <v>37</v>
      </c>
      <c r="B39" s="55" t="s">
        <v>98</v>
      </c>
      <c r="C39" s="55">
        <v>200</v>
      </c>
      <c r="D39" s="55">
        <v>110</v>
      </c>
      <c r="E39" s="55">
        <v>105</v>
      </c>
      <c r="F39" s="55">
        <f t="shared" si="0"/>
        <v>1.46173</v>
      </c>
      <c r="G39" s="55">
        <v>14.6173</v>
      </c>
      <c r="H39" s="55">
        <f t="shared" si="1"/>
        <v>75.253295752293511</v>
      </c>
      <c r="I39" s="56">
        <f t="shared" si="2"/>
        <v>71.832691399916541</v>
      </c>
      <c r="J39" s="57"/>
      <c r="K39" s="59">
        <v>106</v>
      </c>
      <c r="L39" s="59">
        <v>102</v>
      </c>
      <c r="M39" s="59">
        <v>10.6119</v>
      </c>
      <c r="N39" s="59">
        <v>99.9</v>
      </c>
      <c r="O39" s="59">
        <v>96.1</v>
      </c>
      <c r="P39" s="60">
        <f t="shared" si="3"/>
        <v>3.8038038038038152E-2</v>
      </c>
      <c r="Q39" s="54"/>
      <c r="R39" s="54"/>
      <c r="S39" s="54"/>
      <c r="T39" s="54"/>
      <c r="U39" s="54"/>
    </row>
    <row r="40" spans="1:21" x14ac:dyDescent="0.35">
      <c r="A40" s="43">
        <v>38</v>
      </c>
      <c r="B40" s="55" t="s">
        <v>120</v>
      </c>
      <c r="C40" s="55">
        <v>1</v>
      </c>
      <c r="D40" s="55">
        <v>98</v>
      </c>
      <c r="E40" s="55">
        <v>95</v>
      </c>
      <c r="F40" s="55">
        <f t="shared" si="0"/>
        <v>1.39876</v>
      </c>
      <c r="G40" s="55">
        <v>13.9876</v>
      </c>
      <c r="H40" s="55">
        <f t="shared" si="1"/>
        <v>70.062054962967196</v>
      </c>
      <c r="I40" s="56">
        <f t="shared" si="2"/>
        <v>67.917298178386574</v>
      </c>
      <c r="J40" s="57"/>
      <c r="K40" s="59">
        <v>106</v>
      </c>
      <c r="L40" s="59">
        <v>107</v>
      </c>
      <c r="M40" s="59">
        <v>12.8414</v>
      </c>
      <c r="N40" s="59">
        <v>82.5</v>
      </c>
      <c r="O40" s="59">
        <v>83.3</v>
      </c>
      <c r="P40" s="60">
        <f t="shared" si="3"/>
        <v>-9.6969696969696623E-3</v>
      </c>
      <c r="Q40" s="54"/>
      <c r="R40" s="54"/>
      <c r="S40" s="54"/>
      <c r="T40" s="54"/>
      <c r="U40" s="54"/>
    </row>
    <row r="41" spans="1:21" x14ac:dyDescent="0.35">
      <c r="A41" s="43">
        <v>39</v>
      </c>
      <c r="B41" s="55" t="s">
        <v>120</v>
      </c>
      <c r="C41" s="55">
        <v>50</v>
      </c>
      <c r="D41" s="55">
        <v>111</v>
      </c>
      <c r="E41" s="55">
        <v>106</v>
      </c>
      <c r="F41" s="55">
        <f t="shared" si="0"/>
        <v>1.3909800000000001</v>
      </c>
      <c r="G41" s="55">
        <v>13.909800000000001</v>
      </c>
      <c r="H41" s="55">
        <f t="shared" si="1"/>
        <v>79.799853340810074</v>
      </c>
      <c r="I41" s="56">
        <f t="shared" si="2"/>
        <v>76.205265352485299</v>
      </c>
      <c r="J41" s="57"/>
      <c r="K41" s="59">
        <v>90</v>
      </c>
      <c r="L41" s="59">
        <v>89</v>
      </c>
      <c r="M41" s="59">
        <v>9.02</v>
      </c>
      <c r="N41" s="59">
        <v>99.8</v>
      </c>
      <c r="O41" s="59">
        <v>98.7</v>
      </c>
      <c r="P41" s="60">
        <f t="shared" si="3"/>
        <v>1.1022044088176296E-2</v>
      </c>
      <c r="Q41" s="54"/>
      <c r="R41" s="54"/>
      <c r="S41" s="54"/>
      <c r="T41" s="54"/>
      <c r="U41" s="54"/>
    </row>
    <row r="42" spans="1:21" x14ac:dyDescent="0.35">
      <c r="A42" s="43">
        <v>40</v>
      </c>
      <c r="B42" s="55" t="s">
        <v>120</v>
      </c>
      <c r="C42" s="55">
        <v>100</v>
      </c>
      <c r="D42" s="55">
        <v>95</v>
      </c>
      <c r="E42" s="55">
        <v>93</v>
      </c>
      <c r="F42" s="55">
        <f t="shared" si="0"/>
        <v>1.3055699999999999</v>
      </c>
      <c r="G42" s="55">
        <v>13.0557</v>
      </c>
      <c r="H42" s="55">
        <f t="shared" si="1"/>
        <v>72.765152385548078</v>
      </c>
      <c r="I42" s="56">
        <f t="shared" si="2"/>
        <v>71.233254440589178</v>
      </c>
      <c r="J42" s="57"/>
      <c r="K42" s="59">
        <v>80</v>
      </c>
      <c r="L42" s="59">
        <v>79</v>
      </c>
      <c r="M42" s="59">
        <v>8.4801000000000002</v>
      </c>
      <c r="N42" s="59">
        <v>94.3</v>
      </c>
      <c r="O42" s="59">
        <v>93.2</v>
      </c>
      <c r="P42" s="60">
        <f t="shared" si="3"/>
        <v>1.1664899257688169E-2</v>
      </c>
      <c r="Q42" s="54"/>
      <c r="R42" s="54"/>
      <c r="S42" s="54"/>
      <c r="T42" s="54"/>
      <c r="U42" s="54"/>
    </row>
    <row r="43" spans="1:21" x14ac:dyDescent="0.35">
      <c r="A43" s="43">
        <v>41</v>
      </c>
      <c r="B43" s="55" t="s">
        <v>120</v>
      </c>
      <c r="C43" s="55">
        <v>150</v>
      </c>
      <c r="D43" s="55">
        <v>119</v>
      </c>
      <c r="E43" s="55">
        <v>116</v>
      </c>
      <c r="F43" s="55">
        <f t="shared" si="0"/>
        <v>1.3101800000000001</v>
      </c>
      <c r="G43" s="55">
        <v>13.101800000000001</v>
      </c>
      <c r="H43" s="55">
        <f t="shared" si="1"/>
        <v>90.827214581202568</v>
      </c>
      <c r="I43" s="56">
        <f t="shared" si="2"/>
        <v>88.537452869071416</v>
      </c>
      <c r="J43" s="57"/>
      <c r="K43" s="59">
        <v>81</v>
      </c>
      <c r="L43" s="59">
        <v>79</v>
      </c>
      <c r="M43" s="59">
        <v>7.7374999999999998</v>
      </c>
      <c r="N43" s="59">
        <v>104.7</v>
      </c>
      <c r="O43" s="59">
        <v>102.1</v>
      </c>
      <c r="P43" s="60">
        <f t="shared" si="3"/>
        <v>2.4832855778414598E-2</v>
      </c>
      <c r="Q43" s="54"/>
      <c r="R43" s="54"/>
      <c r="S43" s="54"/>
      <c r="T43" s="54"/>
      <c r="U43" s="54"/>
    </row>
    <row r="44" spans="1:21" x14ac:dyDescent="0.35">
      <c r="A44" s="43">
        <v>42</v>
      </c>
      <c r="B44" s="55" t="s">
        <v>100</v>
      </c>
      <c r="C44" s="55" t="s">
        <v>180</v>
      </c>
      <c r="D44" s="55">
        <v>104</v>
      </c>
      <c r="E44" s="55">
        <v>95</v>
      </c>
      <c r="F44" s="55">
        <f t="shared" si="0"/>
        <v>1.5201800000000001</v>
      </c>
      <c r="G44" s="55">
        <v>15.2018</v>
      </c>
      <c r="H44" s="55">
        <f t="shared" si="1"/>
        <v>68.412951097896297</v>
      </c>
      <c r="I44" s="56">
        <f t="shared" si="2"/>
        <v>62.492599560578348</v>
      </c>
      <c r="J44" s="57"/>
      <c r="K44" s="59">
        <v>51</v>
      </c>
      <c r="L44" s="59">
        <v>48</v>
      </c>
      <c r="M44" s="59">
        <v>11.654</v>
      </c>
      <c r="N44" s="59">
        <v>43.8</v>
      </c>
      <c r="O44" s="59">
        <v>41.2</v>
      </c>
      <c r="P44" s="60">
        <f t="shared" si="3"/>
        <v>5.9360730593607178E-2</v>
      </c>
      <c r="Q44" s="54"/>
      <c r="R44" s="54"/>
      <c r="S44" s="54"/>
      <c r="T44" s="54"/>
      <c r="U44" s="54"/>
    </row>
    <row r="45" spans="1:21" x14ac:dyDescent="0.35">
      <c r="A45" s="43">
        <v>43</v>
      </c>
      <c r="B45" s="55" t="s">
        <v>123</v>
      </c>
      <c r="C45" s="55" t="s">
        <v>180</v>
      </c>
      <c r="D45" s="55">
        <v>141</v>
      </c>
      <c r="E45" s="55">
        <v>133</v>
      </c>
      <c r="F45" s="55">
        <f t="shared" si="0"/>
        <v>1.5203609999999999</v>
      </c>
      <c r="G45" s="55">
        <v>15.203609999999999</v>
      </c>
      <c r="H45" s="55">
        <f t="shared" si="1"/>
        <v>92.741131875916324</v>
      </c>
      <c r="I45" s="56">
        <f t="shared" si="2"/>
        <v>87.479223684374972</v>
      </c>
      <c r="J45" s="57"/>
      <c r="K45" s="59">
        <v>146</v>
      </c>
      <c r="L45" s="59">
        <v>137</v>
      </c>
      <c r="M45" s="59">
        <v>11.289099999999999</v>
      </c>
      <c r="N45" s="59">
        <v>129.30000000000001</v>
      </c>
      <c r="O45" s="59">
        <v>121.4</v>
      </c>
      <c r="P45" s="60">
        <f t="shared" si="3"/>
        <v>6.1098221191028652E-2</v>
      </c>
      <c r="Q45" s="54"/>
      <c r="R45" s="54"/>
      <c r="S45" s="54"/>
      <c r="T45" s="54"/>
      <c r="U45" s="54"/>
    </row>
    <row r="46" spans="1:21" x14ac:dyDescent="0.35">
      <c r="A46" s="43">
        <v>44</v>
      </c>
      <c r="B46" s="55" t="s">
        <v>124</v>
      </c>
      <c r="C46" s="55" t="s">
        <v>185</v>
      </c>
      <c r="D46" s="55">
        <v>183</v>
      </c>
      <c r="E46" s="55">
        <v>180</v>
      </c>
      <c r="F46" s="55">
        <f t="shared" si="0"/>
        <v>1.6366800000000001</v>
      </c>
      <c r="G46" s="55">
        <v>16.366800000000001</v>
      </c>
      <c r="H46" s="55">
        <f t="shared" si="1"/>
        <v>111.8117164014957</v>
      </c>
      <c r="I46" s="56">
        <f t="shared" si="2"/>
        <v>109.97873744409414</v>
      </c>
      <c r="J46" s="57"/>
      <c r="K46" s="59">
        <v>199</v>
      </c>
      <c r="L46" s="59">
        <v>195</v>
      </c>
      <c r="M46" s="59">
        <v>13.744400000000001</v>
      </c>
      <c r="N46" s="59">
        <v>144.80000000000001</v>
      </c>
      <c r="O46" s="59">
        <v>194.9</v>
      </c>
      <c r="P46" s="60">
        <f t="shared" si="3"/>
        <v>-0.34599447513812148</v>
      </c>
      <c r="Q46" s="54"/>
      <c r="R46" s="54"/>
      <c r="S46" s="54"/>
      <c r="T46" s="54"/>
      <c r="U46" s="54"/>
    </row>
    <row r="47" spans="1:21" ht="17.5" x14ac:dyDescent="0.45">
      <c r="A47" s="69"/>
      <c r="B47" s="70"/>
      <c r="C47" s="70"/>
      <c r="D47" s="70"/>
      <c r="E47" s="70"/>
      <c r="F47" s="70"/>
      <c r="G47" s="70"/>
      <c r="H47" s="71" t="s">
        <v>186</v>
      </c>
      <c r="I47" s="72" t="s">
        <v>187</v>
      </c>
      <c r="J47" s="57"/>
      <c r="K47" s="70"/>
      <c r="L47" s="70"/>
      <c r="M47" s="70"/>
      <c r="N47" s="70"/>
      <c r="O47" s="70"/>
      <c r="P47" s="60"/>
      <c r="Q47" s="54"/>
      <c r="R47" s="54"/>
      <c r="S47" s="54"/>
      <c r="T47" s="54"/>
      <c r="U47" s="54"/>
    </row>
    <row r="48" spans="1:21" x14ac:dyDescent="0.35">
      <c r="A48" s="73" t="s">
        <v>188</v>
      </c>
      <c r="B48" s="74"/>
      <c r="C48" s="74"/>
      <c r="D48" s="74"/>
      <c r="E48" s="74"/>
      <c r="F48" s="74"/>
      <c r="G48" s="74"/>
      <c r="H48" s="74">
        <f>AVERAGE(H3:H46)</f>
        <v>106.03923085774107</v>
      </c>
      <c r="I48" s="74">
        <f>AVERAGE(I3:I46)</f>
        <v>102.27057487708835</v>
      </c>
      <c r="J48" s="66" t="e">
        <f>AVERAGE(J3:J46)</f>
        <v>#DIV/0!</v>
      </c>
      <c r="K48" s="70"/>
      <c r="L48" s="70"/>
      <c r="M48" s="70"/>
      <c r="N48" s="70">
        <f>AVERAGE(N27:N46)</f>
        <v>90.44</v>
      </c>
      <c r="O48" s="70">
        <f>AVERAGE(O3:O46)</f>
        <v>88.169767441860458</v>
      </c>
      <c r="P48" s="70"/>
      <c r="Q48" s="54"/>
      <c r="R48" s="54"/>
      <c r="S48" s="54"/>
      <c r="T48" s="54"/>
      <c r="U48" s="54"/>
    </row>
    <row r="49" spans="1:21" x14ac:dyDescent="0.35">
      <c r="A49" s="73" t="s">
        <v>189</v>
      </c>
      <c r="B49" s="67"/>
      <c r="C49" s="67"/>
      <c r="D49" s="67"/>
      <c r="E49" s="67"/>
      <c r="F49" s="67"/>
      <c r="G49" s="67"/>
      <c r="H49" s="67">
        <f>MAX(H3:H46)</f>
        <v>568.80242359293538</v>
      </c>
      <c r="I49" s="74">
        <f>MAX(I3:I46)</f>
        <v>556.43715351482808</v>
      </c>
      <c r="J49" s="66">
        <f>MAX(J3:J46)</f>
        <v>0</v>
      </c>
      <c r="K49" s="54"/>
      <c r="L49" s="54"/>
      <c r="M49" s="54"/>
      <c r="N49" s="70">
        <f>MAX(N3:N48)</f>
        <v>206.8</v>
      </c>
      <c r="O49" s="54">
        <f>MAX(O3:O46)</f>
        <v>204.2</v>
      </c>
      <c r="P49" s="54"/>
      <c r="Q49" s="54"/>
      <c r="R49" s="54"/>
      <c r="S49" s="54"/>
      <c r="T49" s="54"/>
      <c r="U49" s="54"/>
    </row>
    <row r="50" spans="1:21" x14ac:dyDescent="0.35">
      <c r="A50" s="73" t="s">
        <v>190</v>
      </c>
      <c r="B50" s="67"/>
      <c r="C50" s="67"/>
      <c r="D50" s="67"/>
      <c r="E50" s="67"/>
      <c r="F50" s="67"/>
      <c r="G50" s="67"/>
      <c r="H50" s="67">
        <f>MIN(H3:H46)</f>
        <v>34.521763401054748</v>
      </c>
      <c r="I50" s="74">
        <f>MIN(I3:I46)</f>
        <v>32.318246588221463</v>
      </c>
      <c r="J50" s="66">
        <v>0.01</v>
      </c>
      <c r="K50" s="54"/>
      <c r="L50" s="54"/>
      <c r="M50" s="54"/>
      <c r="N50" s="70">
        <f>MIN(N3:N46)</f>
        <v>13</v>
      </c>
      <c r="O50" s="54">
        <f>MIN(O3:O46)</f>
        <v>7.9</v>
      </c>
      <c r="P50" s="54"/>
      <c r="Q50" s="54"/>
      <c r="R50" s="54"/>
      <c r="S50" s="54"/>
      <c r="T50" s="54"/>
      <c r="U50" s="54"/>
    </row>
    <row r="51" spans="1:21" x14ac:dyDescent="0.35">
      <c r="A51" s="73" t="s">
        <v>191</v>
      </c>
      <c r="B51" s="67"/>
      <c r="C51" s="67"/>
      <c r="D51" s="67"/>
      <c r="E51" s="67"/>
      <c r="F51" s="67"/>
      <c r="G51" s="67"/>
      <c r="H51" s="67">
        <f>STDEV(H3:H46)</f>
        <v>90.356106937124025</v>
      </c>
      <c r="I51" s="74">
        <f>STDEV(I3:I46)</f>
        <v>89.215491327766173</v>
      </c>
      <c r="J51" s="67"/>
      <c r="K51" s="54"/>
      <c r="L51" s="54"/>
      <c r="M51" s="54"/>
      <c r="N51" s="70">
        <f>STDEV(N3:N46)</f>
        <v>41.863909665096905</v>
      </c>
      <c r="O51" s="54">
        <f>STDEV(O3:O46)</f>
        <v>45.235113493853163</v>
      </c>
      <c r="P51" s="54"/>
      <c r="Q51" s="54"/>
      <c r="R51" s="54"/>
      <c r="S51" s="54"/>
      <c r="T51" s="54"/>
      <c r="U51" s="54"/>
    </row>
    <row r="52" spans="1:21" x14ac:dyDescent="0.35">
      <c r="A52" s="75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</row>
    <row r="53" spans="1:21" ht="16.5" x14ac:dyDescent="0.35">
      <c r="A53" s="76" t="s">
        <v>192</v>
      </c>
      <c r="B53" s="54"/>
      <c r="C53" s="54"/>
      <c r="D53" s="54"/>
      <c r="E53" s="54" t="s">
        <v>193</v>
      </c>
      <c r="F53" s="54"/>
      <c r="G53" s="54">
        <v>2.9990000000000001</v>
      </c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</row>
    <row r="54" spans="1:21" x14ac:dyDescent="0.35">
      <c r="A54" s="75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</row>
    <row r="55" spans="1:21" x14ac:dyDescent="0.35">
      <c r="A55" s="75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</row>
    <row r="56" spans="1:21" x14ac:dyDescent="0.35">
      <c r="A56" s="75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</row>
    <row r="57" spans="1:21" x14ac:dyDescent="0.35">
      <c r="A57" s="75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</row>
    <row r="58" spans="1:21" x14ac:dyDescent="0.35">
      <c r="A58" s="75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</row>
    <row r="59" spans="1:21" x14ac:dyDescent="0.35">
      <c r="A59" s="75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</row>
    <row r="60" spans="1:21" x14ac:dyDescent="0.35">
      <c r="A60" s="75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</row>
    <row r="61" spans="1:21" x14ac:dyDescent="0.35">
      <c r="A61" s="75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</row>
    <row r="62" spans="1:21" x14ac:dyDescent="0.35">
      <c r="A62" s="75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</row>
    <row r="63" spans="1:21" x14ac:dyDescent="0.35">
      <c r="A63" s="75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</row>
    <row r="64" spans="1:21" x14ac:dyDescent="0.35">
      <c r="A64" s="75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</row>
    <row r="65" spans="1:21" x14ac:dyDescent="0.35">
      <c r="A65" s="75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</row>
    <row r="66" spans="1:21" x14ac:dyDescent="0.35">
      <c r="A66" s="75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</row>
    <row r="67" spans="1:21" x14ac:dyDescent="0.35">
      <c r="A67" s="75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</row>
    <row r="68" spans="1:21" x14ac:dyDescent="0.35">
      <c r="A68" s="75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</row>
    <row r="69" spans="1:21" x14ac:dyDescent="0.35">
      <c r="A69" s="75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</row>
    <row r="70" spans="1:21" x14ac:dyDescent="0.35">
      <c r="A70" s="75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</row>
    <row r="71" spans="1:21" x14ac:dyDescent="0.35">
      <c r="A71" s="75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</row>
    <row r="72" spans="1:21" x14ac:dyDescent="0.35">
      <c r="A72" s="75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</row>
    <row r="73" spans="1:21" x14ac:dyDescent="0.35">
      <c r="A73" s="75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</row>
    <row r="74" spans="1:21" x14ac:dyDescent="0.35">
      <c r="A74" s="75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</row>
    <row r="75" spans="1:21" x14ac:dyDescent="0.35">
      <c r="A75" s="75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</row>
    <row r="76" spans="1:21" x14ac:dyDescent="0.35">
      <c r="A76" s="75"/>
    </row>
  </sheetData>
  <mergeCells count="2">
    <mergeCell ref="G1:I1"/>
    <mergeCell ref="K1:O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K18"/>
  <sheetViews>
    <sheetView workbookViewId="0">
      <selection activeCell="D15" sqref="D15"/>
    </sheetView>
  </sheetViews>
  <sheetFormatPr defaultRowHeight="14.5" x14ac:dyDescent="0.35"/>
  <cols>
    <col min="1" max="1" width="19" customWidth="1"/>
    <col min="2" max="2" width="13.54296875" customWidth="1"/>
    <col min="3" max="3" width="10.54296875" customWidth="1"/>
  </cols>
  <sheetData>
    <row r="1" spans="1:11" x14ac:dyDescent="0.35">
      <c r="A1" s="32"/>
      <c r="B1" s="32" t="s">
        <v>163</v>
      </c>
      <c r="C1" s="32" t="s">
        <v>1</v>
      </c>
      <c r="D1" s="32" t="s">
        <v>65</v>
      </c>
      <c r="E1" s="32" t="s">
        <v>66</v>
      </c>
      <c r="F1" s="32" t="s">
        <v>67</v>
      </c>
      <c r="G1" s="32" t="s">
        <v>68</v>
      </c>
      <c r="H1" s="32" t="s">
        <v>70</v>
      </c>
      <c r="I1" s="32" t="s">
        <v>72</v>
      </c>
      <c r="J1" s="32" t="s">
        <v>73</v>
      </c>
      <c r="K1" s="32" t="s">
        <v>71</v>
      </c>
    </row>
    <row r="2" spans="1:11" ht="18.5" x14ac:dyDescent="0.45">
      <c r="A2" s="33" t="s">
        <v>163</v>
      </c>
      <c r="B2" s="33">
        <v>1</v>
      </c>
      <c r="C2" s="33"/>
      <c r="D2" s="33"/>
      <c r="E2" s="33"/>
      <c r="F2" s="33"/>
      <c r="G2" s="33"/>
      <c r="H2" s="33"/>
      <c r="I2" s="33"/>
      <c r="J2" s="33"/>
      <c r="K2" s="33"/>
    </row>
    <row r="3" spans="1:11" ht="18.5" x14ac:dyDescent="0.45">
      <c r="A3" s="33" t="s">
        <v>1</v>
      </c>
      <c r="B3" s="33">
        <v>0.12714859317067473</v>
      </c>
      <c r="C3" s="33">
        <v>1</v>
      </c>
      <c r="D3" s="33"/>
      <c r="E3" s="33"/>
      <c r="F3" s="33"/>
      <c r="G3" s="33"/>
      <c r="H3" s="33"/>
      <c r="I3" s="33"/>
      <c r="J3" s="33"/>
      <c r="K3" s="33"/>
    </row>
    <row r="4" spans="1:11" ht="18.5" x14ac:dyDescent="0.45">
      <c r="A4" s="33" t="s">
        <v>65</v>
      </c>
      <c r="B4" s="33">
        <v>0.38006112519190344</v>
      </c>
      <c r="C4" s="33">
        <v>-0.17220801187377704</v>
      </c>
      <c r="D4" s="33">
        <v>1</v>
      </c>
      <c r="E4" s="33"/>
      <c r="F4" s="33"/>
      <c r="G4" s="33"/>
      <c r="H4" s="33"/>
      <c r="I4" s="33"/>
      <c r="J4" s="33"/>
      <c r="K4" s="33"/>
    </row>
    <row r="5" spans="1:11" ht="18.5" x14ac:dyDescent="0.45">
      <c r="A5" s="33" t="s">
        <v>66</v>
      </c>
      <c r="B5" s="34">
        <v>0.66190498897506111</v>
      </c>
      <c r="C5" s="33">
        <v>-0.10847426165232485</v>
      </c>
      <c r="D5" s="34">
        <v>0.55285473043547029</v>
      </c>
      <c r="E5" s="33">
        <v>1</v>
      </c>
      <c r="F5" s="33"/>
      <c r="G5" s="33"/>
      <c r="H5" s="33"/>
      <c r="I5" s="33"/>
      <c r="J5" s="33"/>
      <c r="K5" s="33"/>
    </row>
    <row r="6" spans="1:11" ht="18.5" x14ac:dyDescent="0.45">
      <c r="A6" s="33" t="s">
        <v>67</v>
      </c>
      <c r="B6" s="33">
        <v>0.10115904483646682</v>
      </c>
      <c r="C6" s="34">
        <v>0.79489784370767802</v>
      </c>
      <c r="D6" s="33">
        <v>1.6505001733912568E-2</v>
      </c>
      <c r="E6" s="33">
        <v>-0.13992486959242209</v>
      </c>
      <c r="F6" s="33">
        <v>1</v>
      </c>
      <c r="G6" s="33"/>
      <c r="H6" s="33"/>
      <c r="I6" s="33"/>
      <c r="J6" s="33"/>
      <c r="K6" s="33"/>
    </row>
    <row r="7" spans="1:11" ht="18.5" x14ac:dyDescent="0.45">
      <c r="A7" s="33" t="s">
        <v>68</v>
      </c>
      <c r="B7" s="33">
        <v>0.35619528637938708</v>
      </c>
      <c r="C7" s="34">
        <v>0.6981491721863019</v>
      </c>
      <c r="D7" s="33">
        <v>-8.8359985008277325E-2</v>
      </c>
      <c r="E7" s="33">
        <v>0.13196988388772515</v>
      </c>
      <c r="F7" s="33">
        <v>0.53729050737063511</v>
      </c>
      <c r="G7" s="33">
        <v>1</v>
      </c>
      <c r="H7" s="33"/>
      <c r="I7" s="33"/>
      <c r="J7" s="33"/>
      <c r="K7" s="33"/>
    </row>
    <row r="8" spans="1:11" ht="18.5" x14ac:dyDescent="0.45">
      <c r="A8" s="33" t="s">
        <v>70</v>
      </c>
      <c r="B8" s="33">
        <v>0.43440223147299062</v>
      </c>
      <c r="C8" s="34">
        <v>0.64486472158821706</v>
      </c>
      <c r="D8" s="33">
        <v>0.16238164574646308</v>
      </c>
      <c r="E8" s="33">
        <v>0.30950414164043599</v>
      </c>
      <c r="F8" s="33">
        <v>0.49840811746924019</v>
      </c>
      <c r="G8" s="34">
        <v>0.71867934866272698</v>
      </c>
      <c r="H8" s="33">
        <v>1</v>
      </c>
      <c r="I8" s="33"/>
      <c r="J8" s="33"/>
      <c r="K8" s="33"/>
    </row>
    <row r="9" spans="1:11" ht="18.5" x14ac:dyDescent="0.45">
      <c r="A9" s="33" t="s">
        <v>72</v>
      </c>
      <c r="B9" s="33">
        <v>-3.6092890751584662E-3</v>
      </c>
      <c r="C9" s="34">
        <v>0.88958217539275841</v>
      </c>
      <c r="D9" s="33">
        <v>-0.28857453866468974</v>
      </c>
      <c r="E9" s="33">
        <v>-0.24515498446466652</v>
      </c>
      <c r="F9" s="33">
        <v>0.70563151352796039</v>
      </c>
      <c r="G9" s="34">
        <v>0.61344971072867738</v>
      </c>
      <c r="H9" s="34">
        <v>0.55565100976766491</v>
      </c>
      <c r="I9" s="33">
        <v>1</v>
      </c>
      <c r="J9" s="33"/>
      <c r="K9" s="33"/>
    </row>
    <row r="10" spans="1:11" ht="18.5" x14ac:dyDescent="0.45">
      <c r="A10" s="33" t="s">
        <v>73</v>
      </c>
      <c r="B10" s="34">
        <v>0.67472175587592853</v>
      </c>
      <c r="C10" s="33">
        <v>-6.5468719496580511E-3</v>
      </c>
      <c r="D10" s="33">
        <v>0.43620402369636574</v>
      </c>
      <c r="E10" s="33">
        <v>0.45192347183739401</v>
      </c>
      <c r="F10" s="33">
        <v>0.12510195877220676</v>
      </c>
      <c r="G10" s="33">
        <v>0.33461347845859873</v>
      </c>
      <c r="H10" s="33">
        <v>0.16004635167524686</v>
      </c>
      <c r="I10" s="33">
        <v>-0.12585459097652418</v>
      </c>
      <c r="J10" s="33">
        <v>1</v>
      </c>
      <c r="K10" s="33"/>
    </row>
    <row r="11" spans="1:11" ht="19" thickBot="1" x14ac:dyDescent="0.5">
      <c r="A11" s="35" t="s">
        <v>71</v>
      </c>
      <c r="B11" s="35">
        <v>-0.11208210642389993</v>
      </c>
      <c r="C11" s="35">
        <v>5.0173190356284543E-2</v>
      </c>
      <c r="D11" s="35">
        <v>-0.20325572317671511</v>
      </c>
      <c r="E11" s="35">
        <v>-6.4709750826475815E-2</v>
      </c>
      <c r="F11" s="35">
        <v>2.1664798903106471E-2</v>
      </c>
      <c r="G11" s="35">
        <v>6.5011742514006779E-2</v>
      </c>
      <c r="H11" s="35">
        <v>-3.2980843371961652E-2</v>
      </c>
      <c r="I11" s="35">
        <v>5.7409946392645635E-2</v>
      </c>
      <c r="J11" s="35">
        <v>-0.11140315219822992</v>
      </c>
      <c r="K11" s="35">
        <v>1</v>
      </c>
    </row>
    <row r="12" spans="1:11" x14ac:dyDescent="0.35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</row>
    <row r="13" spans="1:11" x14ac:dyDescent="0.35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</row>
    <row r="14" spans="1:11" x14ac:dyDescent="0.35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</row>
    <row r="15" spans="1:11" x14ac:dyDescent="0.3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</row>
    <row r="16" spans="1:11" x14ac:dyDescent="0.35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</row>
    <row r="17" spans="1:11" x14ac:dyDescent="0.35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</row>
    <row r="18" spans="1:11" x14ac:dyDescent="0.35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"/>
  <sheetViews>
    <sheetView topLeftCell="A25" workbookViewId="0">
      <selection activeCell="E53" sqref="E53"/>
    </sheetView>
  </sheetViews>
  <sheetFormatPr defaultRowHeight="14.5" x14ac:dyDescent="0.35"/>
  <cols>
    <col min="2" max="2" width="12.453125" customWidth="1"/>
  </cols>
  <sheetData>
    <row r="1" spans="1:10" x14ac:dyDescent="0.35">
      <c r="B1" t="s">
        <v>0</v>
      </c>
      <c r="C1" t="s">
        <v>1</v>
      </c>
    </row>
    <row r="2" spans="1:10" x14ac:dyDescent="0.35">
      <c r="B2" t="s">
        <v>2</v>
      </c>
      <c r="C2" t="s">
        <v>3</v>
      </c>
      <c r="D2" t="s">
        <v>62</v>
      </c>
      <c r="E2" t="s">
        <v>60</v>
      </c>
      <c r="H2" t="s">
        <v>59</v>
      </c>
    </row>
    <row r="3" spans="1:10" x14ac:dyDescent="0.35">
      <c r="A3">
        <v>1</v>
      </c>
      <c r="B3" t="s">
        <v>4</v>
      </c>
      <c r="C3">
        <v>0.48549999999999999</v>
      </c>
      <c r="D3">
        <f>(C3+0.0003)</f>
        <v>0.48580000000000001</v>
      </c>
      <c r="E3" s="1">
        <f>(D3/0.00615)</f>
        <v>78.991869918699194</v>
      </c>
      <c r="H3" t="s">
        <v>60</v>
      </c>
      <c r="I3" t="s">
        <v>61</v>
      </c>
    </row>
    <row r="4" spans="1:10" x14ac:dyDescent="0.35">
      <c r="A4">
        <v>2</v>
      </c>
      <c r="B4" t="s">
        <v>5</v>
      </c>
      <c r="C4">
        <v>0.72529999999999994</v>
      </c>
      <c r="D4">
        <f t="shared" ref="D4:D42" si="0">(C4+0.0003)</f>
        <v>0.72559999999999991</v>
      </c>
      <c r="E4" s="1">
        <f t="shared" ref="E4:E42" si="1">(D4/0.00615)</f>
        <v>117.98373983739836</v>
      </c>
      <c r="H4">
        <v>0</v>
      </c>
      <c r="I4">
        <v>-2.9999999999999997E-4</v>
      </c>
      <c r="J4">
        <f>(I4+0.0003)</f>
        <v>0</v>
      </c>
    </row>
    <row r="5" spans="1:10" x14ac:dyDescent="0.35">
      <c r="A5">
        <v>3</v>
      </c>
      <c r="B5" t="s">
        <v>6</v>
      </c>
      <c r="C5">
        <v>0.62160000000000004</v>
      </c>
      <c r="D5">
        <f t="shared" si="0"/>
        <v>0.62190000000000001</v>
      </c>
      <c r="E5" s="1">
        <f t="shared" si="1"/>
        <v>101.1219512195122</v>
      </c>
      <c r="H5">
        <v>4</v>
      </c>
      <c r="I5">
        <v>2.76E-2</v>
      </c>
      <c r="J5">
        <f t="shared" ref="J5:J12" si="2">(I5+0.0003)</f>
        <v>2.7900000000000001E-2</v>
      </c>
    </row>
    <row r="6" spans="1:10" x14ac:dyDescent="0.35">
      <c r="A6">
        <v>4</v>
      </c>
      <c r="B6" t="s">
        <v>7</v>
      </c>
      <c r="C6">
        <v>0.34029999999999999</v>
      </c>
      <c r="D6">
        <f t="shared" si="0"/>
        <v>0.34060000000000001</v>
      </c>
      <c r="E6" s="1">
        <f t="shared" si="1"/>
        <v>55.382113821138212</v>
      </c>
      <c r="H6">
        <v>8</v>
      </c>
      <c r="I6">
        <v>5.8599999999999999E-2</v>
      </c>
      <c r="J6">
        <f t="shared" si="2"/>
        <v>5.8900000000000001E-2</v>
      </c>
    </row>
    <row r="7" spans="1:10" x14ac:dyDescent="0.35">
      <c r="A7">
        <v>5</v>
      </c>
      <c r="B7" t="s">
        <v>8</v>
      </c>
      <c r="C7">
        <v>0.78510000000000002</v>
      </c>
      <c r="D7">
        <f t="shared" si="0"/>
        <v>0.78539999999999999</v>
      </c>
      <c r="E7" s="1">
        <f t="shared" si="1"/>
        <v>127.70731707317073</v>
      </c>
      <c r="H7">
        <v>12</v>
      </c>
      <c r="I7">
        <v>9.11E-2</v>
      </c>
      <c r="J7">
        <f t="shared" si="2"/>
        <v>9.1399999999999995E-2</v>
      </c>
    </row>
    <row r="8" spans="1:10" x14ac:dyDescent="0.35">
      <c r="A8">
        <v>6</v>
      </c>
      <c r="B8" t="s">
        <v>9</v>
      </c>
      <c r="C8">
        <v>0.42230000000000001</v>
      </c>
      <c r="D8">
        <f t="shared" si="0"/>
        <v>0.42260000000000003</v>
      </c>
      <c r="E8" s="1">
        <f t="shared" si="1"/>
        <v>68.715447154471548</v>
      </c>
      <c r="H8">
        <v>20</v>
      </c>
      <c r="I8">
        <v>0.14510000000000001</v>
      </c>
      <c r="J8">
        <f t="shared" si="2"/>
        <v>0.1454</v>
      </c>
    </row>
    <row r="9" spans="1:10" x14ac:dyDescent="0.35">
      <c r="A9">
        <v>7</v>
      </c>
      <c r="B9" t="s">
        <v>10</v>
      </c>
      <c r="C9">
        <v>0.4355</v>
      </c>
      <c r="D9">
        <f t="shared" si="0"/>
        <v>0.43580000000000002</v>
      </c>
      <c r="E9" s="1">
        <f t="shared" si="1"/>
        <v>70.861788617886177</v>
      </c>
      <c r="H9">
        <v>40</v>
      </c>
      <c r="I9">
        <v>0.29549999999999998</v>
      </c>
      <c r="J9">
        <f t="shared" si="2"/>
        <v>0.29580000000000001</v>
      </c>
    </row>
    <row r="10" spans="1:10" x14ac:dyDescent="0.35">
      <c r="A10">
        <v>8</v>
      </c>
      <c r="B10" t="s">
        <v>11</v>
      </c>
      <c r="C10">
        <v>0.65</v>
      </c>
      <c r="D10">
        <f t="shared" si="0"/>
        <v>0.65029999999999999</v>
      </c>
      <c r="E10" s="1">
        <f t="shared" si="1"/>
        <v>105.73983739837398</v>
      </c>
      <c r="H10">
        <v>60</v>
      </c>
      <c r="I10">
        <v>0.35289999999999999</v>
      </c>
      <c r="J10">
        <f t="shared" si="2"/>
        <v>0.35320000000000001</v>
      </c>
    </row>
    <row r="11" spans="1:10" x14ac:dyDescent="0.35">
      <c r="A11">
        <v>9</v>
      </c>
      <c r="B11" t="s">
        <v>12</v>
      </c>
      <c r="C11">
        <v>1.1637</v>
      </c>
      <c r="D11">
        <f t="shared" si="0"/>
        <v>1.1639999999999999</v>
      </c>
      <c r="E11" s="1">
        <f t="shared" si="1"/>
        <v>189.26829268292681</v>
      </c>
      <c r="H11">
        <v>80</v>
      </c>
      <c r="I11">
        <v>0.52039999999999997</v>
      </c>
      <c r="J11">
        <f t="shared" si="2"/>
        <v>0.52069999999999994</v>
      </c>
    </row>
    <row r="12" spans="1:10" x14ac:dyDescent="0.35">
      <c r="A12">
        <v>10</v>
      </c>
      <c r="B12" t="s">
        <v>13</v>
      </c>
      <c r="C12">
        <v>0.95469999999999999</v>
      </c>
      <c r="D12">
        <f t="shared" si="0"/>
        <v>0.95499999999999996</v>
      </c>
      <c r="E12" s="1">
        <f t="shared" si="1"/>
        <v>155.28455284552845</v>
      </c>
      <c r="H12">
        <v>100</v>
      </c>
      <c r="I12">
        <v>0.61539999999999995</v>
      </c>
      <c r="J12">
        <f t="shared" si="2"/>
        <v>0.61569999999999991</v>
      </c>
    </row>
    <row r="13" spans="1:10" x14ac:dyDescent="0.35">
      <c r="A13">
        <v>11</v>
      </c>
      <c r="B13" t="s">
        <v>14</v>
      </c>
      <c r="C13">
        <v>1.0866</v>
      </c>
      <c r="D13">
        <f t="shared" si="0"/>
        <v>1.0869</v>
      </c>
      <c r="E13" s="1">
        <f t="shared" si="1"/>
        <v>176.73170731707316</v>
      </c>
    </row>
    <row r="14" spans="1:10" x14ac:dyDescent="0.35">
      <c r="A14">
        <v>12</v>
      </c>
      <c r="B14" t="s">
        <v>15</v>
      </c>
      <c r="C14">
        <v>0.52910000000000001</v>
      </c>
      <c r="D14">
        <f t="shared" si="0"/>
        <v>0.52939999999999998</v>
      </c>
      <c r="E14" s="1">
        <f t="shared" si="1"/>
        <v>86.081300813008127</v>
      </c>
    </row>
    <row r="15" spans="1:10" x14ac:dyDescent="0.35">
      <c r="A15">
        <v>13</v>
      </c>
      <c r="B15" t="s">
        <v>16</v>
      </c>
      <c r="C15">
        <v>0.26910000000000001</v>
      </c>
      <c r="D15">
        <f t="shared" si="0"/>
        <v>0.26940000000000003</v>
      </c>
      <c r="E15" s="1">
        <f t="shared" si="1"/>
        <v>43.804878048780495</v>
      </c>
    </row>
    <row r="16" spans="1:10" x14ac:dyDescent="0.35">
      <c r="A16">
        <v>14</v>
      </c>
      <c r="B16" t="s">
        <v>17</v>
      </c>
      <c r="C16">
        <v>0.32</v>
      </c>
      <c r="D16">
        <f t="shared" si="0"/>
        <v>0.32030000000000003</v>
      </c>
      <c r="E16" s="1">
        <f t="shared" si="1"/>
        <v>52.081300813008134</v>
      </c>
    </row>
    <row r="17" spans="1:10" x14ac:dyDescent="0.35">
      <c r="A17">
        <v>15</v>
      </c>
      <c r="B17" t="s">
        <v>18</v>
      </c>
      <c r="C17">
        <v>0.31119999999999998</v>
      </c>
      <c r="D17">
        <f t="shared" si="0"/>
        <v>0.3115</v>
      </c>
      <c r="E17" s="1">
        <f t="shared" si="1"/>
        <v>50.650406504065039</v>
      </c>
    </row>
    <row r="18" spans="1:10" x14ac:dyDescent="0.35">
      <c r="A18">
        <v>16</v>
      </c>
      <c r="B18" t="s">
        <v>19</v>
      </c>
      <c r="C18">
        <v>0.43809999999999999</v>
      </c>
      <c r="D18">
        <f t="shared" si="0"/>
        <v>0.43840000000000001</v>
      </c>
      <c r="E18" s="1">
        <f t="shared" si="1"/>
        <v>71.284552845528452</v>
      </c>
    </row>
    <row r="19" spans="1:10" x14ac:dyDescent="0.35">
      <c r="A19">
        <v>17</v>
      </c>
      <c r="B19" t="s">
        <v>20</v>
      </c>
      <c r="C19">
        <v>0.66669999999999996</v>
      </c>
      <c r="D19">
        <f t="shared" si="0"/>
        <v>0.66699999999999993</v>
      </c>
      <c r="E19" s="1">
        <f t="shared" si="1"/>
        <v>108.45528455284551</v>
      </c>
    </row>
    <row r="20" spans="1:10" x14ac:dyDescent="0.35">
      <c r="A20">
        <v>18</v>
      </c>
      <c r="B20" t="s">
        <v>21</v>
      </c>
      <c r="C20">
        <v>0.46529999999999999</v>
      </c>
      <c r="D20">
        <f t="shared" si="0"/>
        <v>0.46560000000000001</v>
      </c>
      <c r="E20" s="1">
        <f t="shared" si="1"/>
        <v>75.707317073170728</v>
      </c>
    </row>
    <row r="21" spans="1:10" x14ac:dyDescent="0.35">
      <c r="A21">
        <v>19</v>
      </c>
      <c r="B21" t="s">
        <v>22</v>
      </c>
      <c r="C21">
        <v>0.4294</v>
      </c>
      <c r="D21">
        <f t="shared" si="0"/>
        <v>0.42970000000000003</v>
      </c>
      <c r="E21" s="1">
        <f t="shared" si="1"/>
        <v>69.869918699186996</v>
      </c>
      <c r="H21" t="s">
        <v>60</v>
      </c>
      <c r="I21" t="s">
        <v>61</v>
      </c>
    </row>
    <row r="22" spans="1:10" x14ac:dyDescent="0.35">
      <c r="A22">
        <v>20</v>
      </c>
      <c r="B22" t="s">
        <v>23</v>
      </c>
      <c r="C22">
        <v>0.4602</v>
      </c>
      <c r="D22">
        <f t="shared" si="0"/>
        <v>0.46050000000000002</v>
      </c>
      <c r="E22" s="1">
        <f t="shared" si="1"/>
        <v>74.878048780487802</v>
      </c>
      <c r="H22">
        <v>0</v>
      </c>
      <c r="I22">
        <v>9.7999999999999997E-3</v>
      </c>
      <c r="J22">
        <f>(I22-0.0098)</f>
        <v>0</v>
      </c>
    </row>
    <row r="23" spans="1:10" x14ac:dyDescent="0.35">
      <c r="A23">
        <v>21</v>
      </c>
      <c r="B23" t="s">
        <v>24</v>
      </c>
      <c r="C23">
        <v>0.61360000000000003</v>
      </c>
      <c r="D23">
        <f t="shared" si="0"/>
        <v>0.6139</v>
      </c>
      <c r="E23" s="1">
        <f t="shared" si="1"/>
        <v>99.821138211382106</v>
      </c>
      <c r="H23">
        <v>4</v>
      </c>
      <c r="I23">
        <v>2.23E-2</v>
      </c>
      <c r="J23">
        <f t="shared" ref="J23:J30" si="3">(I23-0.0098)</f>
        <v>1.2500000000000001E-2</v>
      </c>
    </row>
    <row r="24" spans="1:10" x14ac:dyDescent="0.35">
      <c r="A24">
        <v>22</v>
      </c>
      <c r="B24" t="s">
        <v>25</v>
      </c>
      <c r="C24">
        <v>0.56910000000000005</v>
      </c>
      <c r="D24">
        <f t="shared" si="0"/>
        <v>0.56940000000000002</v>
      </c>
      <c r="E24" s="1">
        <f t="shared" si="1"/>
        <v>92.585365853658544</v>
      </c>
      <c r="H24">
        <v>8</v>
      </c>
      <c r="I24">
        <v>5.0299999999999997E-2</v>
      </c>
      <c r="J24">
        <f t="shared" si="3"/>
        <v>4.0499999999999994E-2</v>
      </c>
    </row>
    <row r="25" spans="1:10" x14ac:dyDescent="0.35">
      <c r="A25">
        <v>23</v>
      </c>
      <c r="B25" t="s">
        <v>26</v>
      </c>
      <c r="C25">
        <v>1.0768</v>
      </c>
      <c r="D25">
        <f t="shared" si="0"/>
        <v>1.0770999999999999</v>
      </c>
      <c r="E25" s="1">
        <f t="shared" si="1"/>
        <v>175.13821138211381</v>
      </c>
      <c r="H25">
        <v>12</v>
      </c>
      <c r="I25">
        <v>8.09E-2</v>
      </c>
      <c r="J25">
        <f t="shared" si="3"/>
        <v>7.1099999999999997E-2</v>
      </c>
    </row>
    <row r="26" spans="1:10" x14ac:dyDescent="0.35">
      <c r="A26">
        <v>24</v>
      </c>
      <c r="B26" t="s">
        <v>27</v>
      </c>
      <c r="C26">
        <v>0.98150000000000004</v>
      </c>
      <c r="D26">
        <f t="shared" si="0"/>
        <v>0.98180000000000001</v>
      </c>
      <c r="E26" s="1">
        <f t="shared" si="1"/>
        <v>159.64227642276424</v>
      </c>
      <c r="H26">
        <v>20</v>
      </c>
      <c r="I26">
        <v>0.13639999999999999</v>
      </c>
      <c r="J26">
        <f t="shared" si="3"/>
        <v>0.12659999999999999</v>
      </c>
    </row>
    <row r="27" spans="1:10" x14ac:dyDescent="0.35">
      <c r="A27">
        <v>25</v>
      </c>
      <c r="B27" t="s">
        <v>28</v>
      </c>
      <c r="C27">
        <v>0.48270000000000002</v>
      </c>
      <c r="D27">
        <f t="shared" si="0"/>
        <v>0.48300000000000004</v>
      </c>
      <c r="E27" s="1">
        <f t="shared" si="1"/>
        <v>78.536585365853668</v>
      </c>
      <c r="H27">
        <v>40</v>
      </c>
      <c r="I27">
        <v>0.28210000000000002</v>
      </c>
      <c r="J27">
        <f t="shared" si="3"/>
        <v>0.27230000000000004</v>
      </c>
    </row>
    <row r="28" spans="1:10" x14ac:dyDescent="0.35">
      <c r="A28">
        <v>26</v>
      </c>
      <c r="B28" t="s">
        <v>29</v>
      </c>
      <c r="C28">
        <v>0.50900000000000001</v>
      </c>
      <c r="D28">
        <f t="shared" si="0"/>
        <v>0.50929999999999997</v>
      </c>
      <c r="E28" s="1">
        <f t="shared" si="1"/>
        <v>82.8130081300813</v>
      </c>
      <c r="H28">
        <v>60</v>
      </c>
      <c r="I28">
        <v>0.3392</v>
      </c>
      <c r="J28">
        <f t="shared" si="3"/>
        <v>0.32940000000000003</v>
      </c>
    </row>
    <row r="29" spans="1:10" x14ac:dyDescent="0.35">
      <c r="A29">
        <v>27</v>
      </c>
      <c r="B29" t="s">
        <v>30</v>
      </c>
      <c r="C29">
        <v>0.29039999999999999</v>
      </c>
      <c r="D29">
        <f t="shared" si="0"/>
        <v>0.29070000000000001</v>
      </c>
      <c r="E29" s="1">
        <f t="shared" si="1"/>
        <v>47.268292682926834</v>
      </c>
      <c r="H29">
        <v>80</v>
      </c>
      <c r="I29">
        <v>0.50529999999999997</v>
      </c>
      <c r="J29">
        <f t="shared" si="3"/>
        <v>0.4955</v>
      </c>
    </row>
    <row r="30" spans="1:10" x14ac:dyDescent="0.35">
      <c r="A30">
        <v>28</v>
      </c>
      <c r="B30" t="s">
        <v>31</v>
      </c>
      <c r="C30">
        <v>0.41589999999999999</v>
      </c>
      <c r="D30">
        <f t="shared" si="0"/>
        <v>0.41620000000000001</v>
      </c>
      <c r="E30" s="1">
        <f t="shared" si="1"/>
        <v>67.674796747967477</v>
      </c>
      <c r="H30">
        <v>100</v>
      </c>
      <c r="I30">
        <v>0.59789999999999999</v>
      </c>
      <c r="J30">
        <f t="shared" si="3"/>
        <v>0.58809999999999996</v>
      </c>
    </row>
    <row r="31" spans="1:10" x14ac:dyDescent="0.35">
      <c r="A31">
        <v>29</v>
      </c>
      <c r="B31" t="s">
        <v>32</v>
      </c>
      <c r="C31">
        <v>0.51839999999999997</v>
      </c>
      <c r="D31">
        <f t="shared" si="0"/>
        <v>0.51869999999999994</v>
      </c>
      <c r="E31" s="1">
        <f t="shared" si="1"/>
        <v>84.341463414634134</v>
      </c>
    </row>
    <row r="32" spans="1:10" x14ac:dyDescent="0.35">
      <c r="A32">
        <v>30</v>
      </c>
      <c r="B32" t="s">
        <v>33</v>
      </c>
      <c r="C32">
        <v>0.82040000000000002</v>
      </c>
      <c r="D32">
        <f t="shared" si="0"/>
        <v>0.82069999999999999</v>
      </c>
      <c r="E32" s="1">
        <f t="shared" si="1"/>
        <v>133.44715447154471</v>
      </c>
    </row>
    <row r="33" spans="1:5" x14ac:dyDescent="0.35">
      <c r="A33">
        <v>31</v>
      </c>
      <c r="B33" t="s">
        <v>34</v>
      </c>
      <c r="C33">
        <v>9.0499999999999997E-2</v>
      </c>
      <c r="D33">
        <f t="shared" si="0"/>
        <v>9.0799999999999992E-2</v>
      </c>
      <c r="E33" s="1">
        <f t="shared" si="1"/>
        <v>14.76422764227642</v>
      </c>
    </row>
    <row r="34" spans="1:5" x14ac:dyDescent="0.35">
      <c r="A34">
        <v>32</v>
      </c>
      <c r="B34" t="s">
        <v>35</v>
      </c>
      <c r="C34">
        <v>0.5635</v>
      </c>
      <c r="D34">
        <f t="shared" si="0"/>
        <v>0.56379999999999997</v>
      </c>
      <c r="E34" s="1">
        <f t="shared" si="1"/>
        <v>91.674796747967477</v>
      </c>
    </row>
    <row r="35" spans="1:5" x14ac:dyDescent="0.35">
      <c r="A35">
        <v>33</v>
      </c>
      <c r="B35" t="s">
        <v>36</v>
      </c>
      <c r="C35">
        <v>0.22070000000000001</v>
      </c>
      <c r="D35">
        <f t="shared" si="0"/>
        <v>0.221</v>
      </c>
      <c r="E35" s="1">
        <f t="shared" si="1"/>
        <v>35.934959349593498</v>
      </c>
    </row>
    <row r="36" spans="1:5" x14ac:dyDescent="0.35">
      <c r="A36">
        <v>34</v>
      </c>
      <c r="B36" t="s">
        <v>37</v>
      </c>
      <c r="C36">
        <v>0.50529999999999997</v>
      </c>
      <c r="D36">
        <f t="shared" si="0"/>
        <v>0.50559999999999994</v>
      </c>
      <c r="E36" s="1">
        <f t="shared" si="1"/>
        <v>82.211382113821131</v>
      </c>
    </row>
    <row r="37" spans="1:5" x14ac:dyDescent="0.35">
      <c r="A37">
        <v>35</v>
      </c>
      <c r="B37" t="s">
        <v>38</v>
      </c>
      <c r="C37">
        <v>0.97819999999999996</v>
      </c>
      <c r="D37">
        <f t="shared" si="0"/>
        <v>0.97849999999999993</v>
      </c>
      <c r="E37" s="1">
        <f t="shared" si="1"/>
        <v>159.10569105691056</v>
      </c>
    </row>
    <row r="38" spans="1:5" x14ac:dyDescent="0.35">
      <c r="A38">
        <v>36</v>
      </c>
      <c r="B38" t="s">
        <v>39</v>
      </c>
      <c r="C38">
        <v>0.97660000000000002</v>
      </c>
      <c r="D38">
        <f t="shared" si="0"/>
        <v>0.97689999999999999</v>
      </c>
      <c r="E38" s="1">
        <f t="shared" si="1"/>
        <v>158.84552845528455</v>
      </c>
    </row>
    <row r="39" spans="1:5" x14ac:dyDescent="0.35">
      <c r="A39">
        <v>37</v>
      </c>
      <c r="B39" t="s">
        <v>40</v>
      </c>
      <c r="C39">
        <v>1.1931</v>
      </c>
      <c r="D39">
        <f t="shared" si="0"/>
        <v>1.1934</v>
      </c>
      <c r="E39" s="1">
        <f t="shared" si="1"/>
        <v>194.04878048780489</v>
      </c>
    </row>
    <row r="40" spans="1:5" x14ac:dyDescent="0.35">
      <c r="A40">
        <v>38</v>
      </c>
      <c r="B40" t="s">
        <v>41</v>
      </c>
      <c r="C40">
        <v>0.46150000000000002</v>
      </c>
      <c r="D40">
        <f t="shared" si="0"/>
        <v>0.46180000000000004</v>
      </c>
      <c r="E40" s="1">
        <f t="shared" si="1"/>
        <v>75.089430894308947</v>
      </c>
    </row>
    <row r="41" spans="1:5" x14ac:dyDescent="0.35">
      <c r="A41">
        <v>39</v>
      </c>
      <c r="B41" t="s">
        <v>42</v>
      </c>
      <c r="C41">
        <v>0.86429999999999996</v>
      </c>
      <c r="D41">
        <f t="shared" si="0"/>
        <v>0.86459999999999992</v>
      </c>
      <c r="E41" s="1">
        <f t="shared" si="1"/>
        <v>140.58536585365852</v>
      </c>
    </row>
    <row r="42" spans="1:5" x14ac:dyDescent="0.35">
      <c r="A42">
        <v>40</v>
      </c>
      <c r="B42" t="s">
        <v>43</v>
      </c>
      <c r="C42">
        <v>0.8397</v>
      </c>
      <c r="D42">
        <f t="shared" si="0"/>
        <v>0.84</v>
      </c>
      <c r="E42" s="1">
        <f t="shared" si="1"/>
        <v>136.58536585365852</v>
      </c>
    </row>
    <row r="43" spans="1:5" x14ac:dyDescent="0.35">
      <c r="A43">
        <v>41</v>
      </c>
      <c r="B43" t="s">
        <v>44</v>
      </c>
      <c r="C43">
        <v>0.58169999999999999</v>
      </c>
      <c r="D43">
        <f>(C43-0.0098)</f>
        <v>0.57189999999999996</v>
      </c>
      <c r="E43" s="2">
        <f>(D43/0.00598)</f>
        <v>95.635451505016718</v>
      </c>
    </row>
    <row r="44" spans="1:5" x14ac:dyDescent="0.35">
      <c r="A44">
        <v>42</v>
      </c>
      <c r="B44" t="s">
        <v>45</v>
      </c>
      <c r="C44">
        <v>0.54390000000000005</v>
      </c>
      <c r="D44">
        <f t="shared" ref="D44:D52" si="4">(C44-0.0098)</f>
        <v>0.53410000000000002</v>
      </c>
      <c r="E44" s="2">
        <f t="shared" ref="E44:E52" si="5">(D44/0.00598)</f>
        <v>89.314381270903013</v>
      </c>
    </row>
    <row r="45" spans="1:5" x14ac:dyDescent="0.35">
      <c r="A45">
        <v>43</v>
      </c>
      <c r="B45" t="s">
        <v>46</v>
      </c>
      <c r="C45">
        <v>7.1999999999999998E-3</v>
      </c>
      <c r="D45">
        <f t="shared" si="4"/>
        <v>-2.5999999999999999E-3</v>
      </c>
      <c r="E45" s="2">
        <f t="shared" si="5"/>
        <v>-0.43478260869565216</v>
      </c>
    </row>
    <row r="46" spans="1:5" x14ac:dyDescent="0.35">
      <c r="A46">
        <v>44</v>
      </c>
      <c r="B46" t="s">
        <v>47</v>
      </c>
      <c r="C46">
        <v>0.30780000000000002</v>
      </c>
      <c r="D46">
        <f t="shared" si="4"/>
        <v>0.29800000000000004</v>
      </c>
      <c r="E46" s="2">
        <f t="shared" si="5"/>
        <v>49.832775919732448</v>
      </c>
    </row>
    <row r="47" spans="1:5" x14ac:dyDescent="0.35">
      <c r="A47">
        <v>45</v>
      </c>
      <c r="B47" t="s">
        <v>48</v>
      </c>
      <c r="C47">
        <v>2.8999999999999998E-3</v>
      </c>
      <c r="D47">
        <f t="shared" si="4"/>
        <v>-6.8999999999999999E-3</v>
      </c>
      <c r="E47" s="2">
        <f t="shared" si="5"/>
        <v>-1.1538461538461537</v>
      </c>
    </row>
    <row r="48" spans="1:5" x14ac:dyDescent="0.35">
      <c r="A48">
        <v>46</v>
      </c>
      <c r="B48" t="s">
        <v>49</v>
      </c>
      <c r="C48">
        <v>1.0106999999999999</v>
      </c>
      <c r="D48">
        <f t="shared" si="4"/>
        <v>1.0008999999999999</v>
      </c>
      <c r="E48" s="2">
        <f t="shared" si="5"/>
        <v>167.3745819397993</v>
      </c>
    </row>
    <row r="49" spans="1:5" x14ac:dyDescent="0.35">
      <c r="A49">
        <v>47</v>
      </c>
      <c r="B49" t="s">
        <v>50</v>
      </c>
      <c r="C49">
        <v>1.5E-3</v>
      </c>
      <c r="D49">
        <f t="shared" si="4"/>
        <v>-8.3000000000000001E-3</v>
      </c>
      <c r="E49" s="2">
        <f t="shared" si="5"/>
        <v>-1.3879598662207357</v>
      </c>
    </row>
    <row r="50" spans="1:5" x14ac:dyDescent="0.35">
      <c r="A50">
        <v>48</v>
      </c>
      <c r="B50" t="s">
        <v>51</v>
      </c>
      <c r="C50">
        <v>-3.2000000000000002E-3</v>
      </c>
      <c r="D50">
        <f t="shared" si="4"/>
        <v>-1.2999999999999999E-2</v>
      </c>
      <c r="E50" s="2">
        <f t="shared" si="5"/>
        <v>-2.1739130434782608</v>
      </c>
    </row>
    <row r="51" spans="1:5" x14ac:dyDescent="0.35">
      <c r="A51">
        <v>49</v>
      </c>
      <c r="B51" t="s">
        <v>63</v>
      </c>
      <c r="C51">
        <v>-9.1999999999999998E-3</v>
      </c>
      <c r="D51">
        <f t="shared" si="4"/>
        <v>-1.9E-2</v>
      </c>
      <c r="E51" s="2">
        <f t="shared" si="5"/>
        <v>-3.1772575250836121</v>
      </c>
    </row>
    <row r="52" spans="1:5" x14ac:dyDescent="0.35">
      <c r="A52">
        <v>50</v>
      </c>
      <c r="B52" t="s">
        <v>63</v>
      </c>
      <c r="C52">
        <v>-9.2999999999999992E-3</v>
      </c>
      <c r="D52">
        <f t="shared" si="4"/>
        <v>-1.9099999999999999E-2</v>
      </c>
      <c r="E52" s="2">
        <f t="shared" si="5"/>
        <v>-3.1939799331103678</v>
      </c>
    </row>
    <row r="53" spans="1:5" x14ac:dyDescent="0.35">
      <c r="E53" s="2"/>
    </row>
    <row r="54" spans="1:5" x14ac:dyDescent="0.35">
      <c r="E54" s="2"/>
    </row>
    <row r="55" spans="1:5" x14ac:dyDescent="0.35">
      <c r="E55" s="2"/>
    </row>
    <row r="56" spans="1:5" x14ac:dyDescent="0.35">
      <c r="E56" s="2"/>
    </row>
    <row r="57" spans="1:5" x14ac:dyDescent="0.35">
      <c r="E57" s="2"/>
    </row>
    <row r="58" spans="1:5" x14ac:dyDescent="0.35">
      <c r="E58" s="2"/>
    </row>
    <row r="59" spans="1:5" x14ac:dyDescent="0.35">
      <c r="E59" s="2"/>
    </row>
    <row r="60" spans="1:5" x14ac:dyDescent="0.35">
      <c r="E60" s="2"/>
    </row>
    <row r="61" spans="1:5" x14ac:dyDescent="0.35">
      <c r="E61" s="2"/>
    </row>
    <row r="62" spans="1:5" x14ac:dyDescent="0.35">
      <c r="E62" s="2"/>
    </row>
    <row r="63" spans="1:5" x14ac:dyDescent="0.35">
      <c r="E63" s="2"/>
    </row>
    <row r="64" spans="1:5" x14ac:dyDescent="0.35">
      <c r="E64" s="2"/>
    </row>
    <row r="65" spans="5:5" x14ac:dyDescent="0.35">
      <c r="E65" s="2"/>
    </row>
    <row r="66" spans="5:5" x14ac:dyDescent="0.35">
      <c r="E66" s="2"/>
    </row>
    <row r="67" spans="5:5" x14ac:dyDescent="0.35">
      <c r="E67" s="2"/>
    </row>
    <row r="68" spans="5:5" x14ac:dyDescent="0.35">
      <c r="E68" s="2"/>
    </row>
    <row r="69" spans="5:5" x14ac:dyDescent="0.35">
      <c r="E69" s="2"/>
    </row>
    <row r="70" spans="5:5" x14ac:dyDescent="0.35">
      <c r="E70" s="2"/>
    </row>
    <row r="71" spans="5:5" x14ac:dyDescent="0.35">
      <c r="E71" s="2"/>
    </row>
    <row r="72" spans="5:5" x14ac:dyDescent="0.35">
      <c r="E72" s="2"/>
    </row>
    <row r="73" spans="5:5" x14ac:dyDescent="0.35">
      <c r="E73" s="2"/>
    </row>
    <row r="74" spans="5:5" x14ac:dyDescent="0.35">
      <c r="E74" s="2"/>
    </row>
    <row r="75" spans="5:5" x14ac:dyDescent="0.35">
      <c r="E75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workbookViewId="0"/>
  </sheetViews>
  <sheetFormatPr defaultRowHeight="14.5" x14ac:dyDescent="0.35"/>
  <cols>
    <col min="2" max="2" width="14.7265625" customWidth="1"/>
    <col min="3" max="3" width="16.26953125" customWidth="1"/>
  </cols>
  <sheetData>
    <row r="1" spans="1:7" x14ac:dyDescent="0.35">
      <c r="B1" t="s">
        <v>0</v>
      </c>
      <c r="C1" t="s">
        <v>65</v>
      </c>
      <c r="D1" t="s">
        <v>60</v>
      </c>
    </row>
    <row r="2" spans="1:7" x14ac:dyDescent="0.35">
      <c r="B2" t="s">
        <v>2</v>
      </c>
      <c r="C2" t="s">
        <v>3</v>
      </c>
    </row>
    <row r="3" spans="1:7" x14ac:dyDescent="0.35">
      <c r="A3">
        <v>1</v>
      </c>
      <c r="B3" t="s">
        <v>4</v>
      </c>
      <c r="C3">
        <v>0.38550000000000001</v>
      </c>
      <c r="D3">
        <f>(C3/0.288)</f>
        <v>1.3385416666666667</v>
      </c>
      <c r="F3">
        <v>0</v>
      </c>
      <c r="G3">
        <v>-2.9999999999999997E-4</v>
      </c>
    </row>
    <row r="4" spans="1:7" x14ac:dyDescent="0.35">
      <c r="A4">
        <v>2</v>
      </c>
      <c r="B4" t="s">
        <v>5</v>
      </c>
      <c r="C4">
        <v>0.36649999999999999</v>
      </c>
      <c r="D4">
        <f t="shared" ref="D4:D67" si="0">(C4/0.288)</f>
        <v>1.2725694444444444</v>
      </c>
      <c r="F4">
        <v>0.5</v>
      </c>
      <c r="G4">
        <v>0.13389999999999999</v>
      </c>
    </row>
    <row r="5" spans="1:7" x14ac:dyDescent="0.35">
      <c r="A5">
        <v>3</v>
      </c>
      <c r="B5" t="s">
        <v>6</v>
      </c>
      <c r="C5">
        <v>0.2271</v>
      </c>
      <c r="D5">
        <f t="shared" si="0"/>
        <v>0.7885416666666667</v>
      </c>
      <c r="F5">
        <v>1</v>
      </c>
      <c r="G5">
        <v>0.29020000000000001</v>
      </c>
    </row>
    <row r="6" spans="1:7" x14ac:dyDescent="0.35">
      <c r="A6">
        <v>4</v>
      </c>
      <c r="B6" t="s">
        <v>7</v>
      </c>
      <c r="C6">
        <v>0.32429999999999998</v>
      </c>
      <c r="D6">
        <f t="shared" si="0"/>
        <v>1.1260416666666666</v>
      </c>
      <c r="F6">
        <v>2</v>
      </c>
    </row>
    <row r="7" spans="1:7" x14ac:dyDescent="0.35">
      <c r="A7">
        <v>5</v>
      </c>
      <c r="B7" t="s">
        <v>8</v>
      </c>
      <c r="C7">
        <v>0.33939999999999998</v>
      </c>
      <c r="D7">
        <f t="shared" si="0"/>
        <v>1.1784722222222221</v>
      </c>
      <c r="F7">
        <v>4</v>
      </c>
      <c r="G7">
        <v>0.59309999999999996</v>
      </c>
    </row>
    <row r="8" spans="1:7" x14ac:dyDescent="0.35">
      <c r="A8">
        <v>6</v>
      </c>
      <c r="B8" t="s">
        <v>9</v>
      </c>
      <c r="C8">
        <v>0.3972</v>
      </c>
      <c r="D8">
        <f t="shared" si="0"/>
        <v>1.3791666666666667</v>
      </c>
    </row>
    <row r="9" spans="1:7" x14ac:dyDescent="0.35">
      <c r="A9">
        <v>7</v>
      </c>
      <c r="B9" t="s">
        <v>10</v>
      </c>
      <c r="C9">
        <v>0.60589999999999999</v>
      </c>
      <c r="D9">
        <f t="shared" si="0"/>
        <v>2.1038194444444445</v>
      </c>
    </row>
    <row r="10" spans="1:7" x14ac:dyDescent="0.35">
      <c r="A10">
        <v>8</v>
      </c>
      <c r="B10" t="s">
        <v>11</v>
      </c>
      <c r="C10">
        <v>0.39700000000000002</v>
      </c>
      <c r="D10">
        <f t="shared" si="0"/>
        <v>1.3784722222222223</v>
      </c>
    </row>
    <row r="11" spans="1:7" x14ac:dyDescent="0.35">
      <c r="A11">
        <v>9</v>
      </c>
      <c r="B11" t="s">
        <v>12</v>
      </c>
      <c r="C11">
        <v>0.14799999999999999</v>
      </c>
      <c r="D11">
        <f t="shared" si="0"/>
        <v>0.51388888888888895</v>
      </c>
    </row>
    <row r="12" spans="1:7" x14ac:dyDescent="0.35">
      <c r="A12">
        <v>10</v>
      </c>
      <c r="B12" t="s">
        <v>13</v>
      </c>
      <c r="C12">
        <v>0.15629999999999999</v>
      </c>
      <c r="D12">
        <f t="shared" si="0"/>
        <v>0.54270833333333335</v>
      </c>
      <c r="F12">
        <v>0</v>
      </c>
      <c r="G12">
        <v>-2.9999999999999997E-4</v>
      </c>
    </row>
    <row r="13" spans="1:7" x14ac:dyDescent="0.35">
      <c r="A13">
        <v>11</v>
      </c>
      <c r="B13" t="s">
        <v>14</v>
      </c>
      <c r="C13">
        <v>0.19950000000000001</v>
      </c>
      <c r="D13">
        <f t="shared" si="0"/>
        <v>0.69270833333333337</v>
      </c>
      <c r="F13">
        <v>0.5</v>
      </c>
      <c r="G13">
        <v>0.1275</v>
      </c>
    </row>
    <row r="14" spans="1:7" x14ac:dyDescent="0.35">
      <c r="A14">
        <v>12</v>
      </c>
      <c r="B14" t="s">
        <v>15</v>
      </c>
      <c r="C14">
        <v>0.37630000000000002</v>
      </c>
      <c r="D14">
        <f t="shared" si="0"/>
        <v>1.3065972222222224</v>
      </c>
      <c r="F14">
        <v>1</v>
      </c>
      <c r="G14">
        <v>0.28639999999999999</v>
      </c>
    </row>
    <row r="15" spans="1:7" x14ac:dyDescent="0.35">
      <c r="A15">
        <v>13</v>
      </c>
      <c r="B15" t="s">
        <v>16</v>
      </c>
      <c r="C15">
        <v>0.21249999999999999</v>
      </c>
      <c r="D15">
        <f t="shared" si="0"/>
        <v>0.73784722222222221</v>
      </c>
      <c r="F15">
        <v>2</v>
      </c>
      <c r="G15">
        <v>0.36049999999999999</v>
      </c>
    </row>
    <row r="16" spans="1:7" x14ac:dyDescent="0.35">
      <c r="A16">
        <v>14</v>
      </c>
      <c r="B16" t="s">
        <v>17</v>
      </c>
      <c r="C16">
        <v>0.16869999999999999</v>
      </c>
      <c r="D16">
        <f t="shared" si="0"/>
        <v>0.58576388888888886</v>
      </c>
      <c r="F16">
        <v>4</v>
      </c>
      <c r="G16">
        <v>0.59099999999999997</v>
      </c>
    </row>
    <row r="17" spans="1:4" x14ac:dyDescent="0.35">
      <c r="A17">
        <v>15</v>
      </c>
      <c r="B17" t="s">
        <v>18</v>
      </c>
      <c r="C17">
        <v>0.11509999999999999</v>
      </c>
      <c r="D17">
        <f t="shared" si="0"/>
        <v>0.3996527777777778</v>
      </c>
    </row>
    <row r="18" spans="1:4" x14ac:dyDescent="0.35">
      <c r="A18">
        <v>16</v>
      </c>
      <c r="B18" t="s">
        <v>19</v>
      </c>
      <c r="C18">
        <v>0.20369999999999999</v>
      </c>
      <c r="D18">
        <f t="shared" si="0"/>
        <v>0.70729166666666665</v>
      </c>
    </row>
    <row r="19" spans="1:4" x14ac:dyDescent="0.35">
      <c r="A19">
        <v>17</v>
      </c>
      <c r="B19" t="s">
        <v>20</v>
      </c>
      <c r="C19">
        <v>0.83240000000000003</v>
      </c>
      <c r="D19">
        <f t="shared" si="0"/>
        <v>2.8902777777777779</v>
      </c>
    </row>
    <row r="20" spans="1:4" x14ac:dyDescent="0.35">
      <c r="A20">
        <v>18</v>
      </c>
      <c r="B20" t="s">
        <v>21</v>
      </c>
      <c r="C20">
        <v>0.25119999999999998</v>
      </c>
      <c r="D20">
        <f t="shared" si="0"/>
        <v>0.87222222222222223</v>
      </c>
    </row>
    <row r="21" spans="1:4" x14ac:dyDescent="0.35">
      <c r="A21">
        <v>19</v>
      </c>
      <c r="B21" t="s">
        <v>22</v>
      </c>
      <c r="C21">
        <v>0.59550000000000003</v>
      </c>
      <c r="D21">
        <f t="shared" si="0"/>
        <v>2.0677083333333335</v>
      </c>
    </row>
    <row r="22" spans="1:4" x14ac:dyDescent="0.35">
      <c r="A22">
        <v>20</v>
      </c>
      <c r="B22" t="s">
        <v>23</v>
      </c>
      <c r="C22">
        <v>0.2135</v>
      </c>
      <c r="D22">
        <f t="shared" si="0"/>
        <v>0.74131944444444453</v>
      </c>
    </row>
    <row r="23" spans="1:4" x14ac:dyDescent="0.35">
      <c r="A23">
        <v>21</v>
      </c>
      <c r="B23" t="s">
        <v>24</v>
      </c>
      <c r="C23">
        <v>0.19919999999999999</v>
      </c>
      <c r="D23">
        <f t="shared" si="0"/>
        <v>0.69166666666666665</v>
      </c>
    </row>
    <row r="24" spans="1:4" x14ac:dyDescent="0.35">
      <c r="A24">
        <v>22</v>
      </c>
      <c r="B24" t="s">
        <v>25</v>
      </c>
      <c r="C24">
        <v>0.1482</v>
      </c>
      <c r="D24">
        <f t="shared" si="0"/>
        <v>0.51458333333333339</v>
      </c>
    </row>
    <row r="25" spans="1:4" x14ac:dyDescent="0.35">
      <c r="A25">
        <v>23</v>
      </c>
      <c r="B25" t="s">
        <v>26</v>
      </c>
      <c r="C25">
        <v>0.183</v>
      </c>
      <c r="D25">
        <f t="shared" si="0"/>
        <v>0.63541666666666674</v>
      </c>
    </row>
    <row r="26" spans="1:4" x14ac:dyDescent="0.35">
      <c r="A26">
        <v>24</v>
      </c>
      <c r="B26" t="s">
        <v>27</v>
      </c>
      <c r="C26">
        <v>0.18759999999999999</v>
      </c>
      <c r="D26">
        <f t="shared" si="0"/>
        <v>0.65138888888888891</v>
      </c>
    </row>
    <row r="27" spans="1:4" x14ac:dyDescent="0.35">
      <c r="A27">
        <v>25</v>
      </c>
      <c r="B27" t="s">
        <v>28</v>
      </c>
      <c r="C27">
        <v>0.2374</v>
      </c>
      <c r="D27">
        <f t="shared" si="0"/>
        <v>0.82430555555555562</v>
      </c>
    </row>
    <row r="28" spans="1:4" x14ac:dyDescent="0.35">
      <c r="A28">
        <v>26</v>
      </c>
      <c r="B28" t="s">
        <v>29</v>
      </c>
      <c r="C28">
        <v>0.52790000000000004</v>
      </c>
      <c r="D28">
        <f t="shared" si="0"/>
        <v>1.8329861111111114</v>
      </c>
    </row>
    <row r="29" spans="1:4" x14ac:dyDescent="0.35">
      <c r="A29">
        <v>27</v>
      </c>
      <c r="B29" t="s">
        <v>30</v>
      </c>
      <c r="C29">
        <v>0.22020000000000001</v>
      </c>
      <c r="D29">
        <f t="shared" si="0"/>
        <v>0.76458333333333339</v>
      </c>
    </row>
    <row r="30" spans="1:4" x14ac:dyDescent="0.35">
      <c r="A30">
        <v>28</v>
      </c>
      <c r="B30" t="s">
        <v>31</v>
      </c>
      <c r="C30">
        <v>0.1875</v>
      </c>
      <c r="D30">
        <f t="shared" si="0"/>
        <v>0.65104166666666674</v>
      </c>
    </row>
    <row r="31" spans="1:4" x14ac:dyDescent="0.35">
      <c r="A31">
        <v>29</v>
      </c>
      <c r="B31" t="s">
        <v>32</v>
      </c>
      <c r="C31">
        <v>0.21940000000000001</v>
      </c>
      <c r="D31">
        <f t="shared" si="0"/>
        <v>0.76180555555555562</v>
      </c>
    </row>
    <row r="32" spans="1:4" x14ac:dyDescent="0.35">
      <c r="A32">
        <v>30</v>
      </c>
      <c r="B32" t="s">
        <v>33</v>
      </c>
      <c r="C32">
        <v>0.27729999999999999</v>
      </c>
      <c r="D32">
        <f t="shared" si="0"/>
        <v>0.9628472222222223</v>
      </c>
    </row>
    <row r="33" spans="1:4" x14ac:dyDescent="0.35">
      <c r="A33">
        <v>31</v>
      </c>
      <c r="B33" t="s">
        <v>34</v>
      </c>
      <c r="C33">
        <v>0.1993</v>
      </c>
      <c r="D33">
        <f t="shared" si="0"/>
        <v>0.69201388888888893</v>
      </c>
    </row>
    <row r="34" spans="1:4" x14ac:dyDescent="0.35">
      <c r="A34">
        <v>32</v>
      </c>
      <c r="B34" t="s">
        <v>35</v>
      </c>
      <c r="C34">
        <v>0.3221</v>
      </c>
      <c r="D34">
        <f t="shared" si="0"/>
        <v>1.1184027777777779</v>
      </c>
    </row>
    <row r="35" spans="1:4" x14ac:dyDescent="0.35">
      <c r="A35">
        <v>33</v>
      </c>
      <c r="B35" t="s">
        <v>36</v>
      </c>
      <c r="C35">
        <v>0.34599999999999997</v>
      </c>
      <c r="D35">
        <f t="shared" si="0"/>
        <v>1.2013888888888888</v>
      </c>
    </row>
    <row r="36" spans="1:4" x14ac:dyDescent="0.35">
      <c r="A36">
        <v>34</v>
      </c>
      <c r="B36" t="s">
        <v>37</v>
      </c>
      <c r="C36">
        <v>0.28760000000000002</v>
      </c>
      <c r="D36">
        <f t="shared" si="0"/>
        <v>0.99861111111111123</v>
      </c>
    </row>
    <row r="37" spans="1:4" x14ac:dyDescent="0.35">
      <c r="A37">
        <v>35</v>
      </c>
      <c r="B37" t="s">
        <v>38</v>
      </c>
      <c r="C37">
        <v>0.15570000000000001</v>
      </c>
      <c r="D37">
        <f t="shared" si="0"/>
        <v>0.54062500000000002</v>
      </c>
    </row>
    <row r="38" spans="1:4" x14ac:dyDescent="0.35">
      <c r="A38">
        <v>36</v>
      </c>
      <c r="B38" t="s">
        <v>39</v>
      </c>
      <c r="C38">
        <v>0.20610000000000001</v>
      </c>
      <c r="D38">
        <f t="shared" si="0"/>
        <v>0.71562500000000007</v>
      </c>
    </row>
    <row r="39" spans="1:4" x14ac:dyDescent="0.35">
      <c r="A39">
        <v>37</v>
      </c>
      <c r="B39" t="s">
        <v>40</v>
      </c>
      <c r="C39">
        <v>0.17499999999999999</v>
      </c>
      <c r="D39">
        <f t="shared" si="0"/>
        <v>0.60763888888888895</v>
      </c>
    </row>
    <row r="40" spans="1:4" x14ac:dyDescent="0.35">
      <c r="A40">
        <v>38</v>
      </c>
      <c r="B40" t="s">
        <v>41</v>
      </c>
      <c r="C40">
        <v>0.30620000000000003</v>
      </c>
      <c r="D40">
        <f t="shared" si="0"/>
        <v>1.0631944444444446</v>
      </c>
    </row>
    <row r="41" spans="1:4" x14ac:dyDescent="0.35">
      <c r="A41">
        <v>39</v>
      </c>
      <c r="B41" t="s">
        <v>42</v>
      </c>
      <c r="C41">
        <v>0.32979999999999998</v>
      </c>
      <c r="D41">
        <f t="shared" si="0"/>
        <v>1.1451388888888889</v>
      </c>
    </row>
    <row r="42" spans="1:4" x14ac:dyDescent="0.35">
      <c r="A42">
        <v>40</v>
      </c>
      <c r="B42" t="s">
        <v>43</v>
      </c>
      <c r="C42">
        <v>0.2666</v>
      </c>
      <c r="D42">
        <f t="shared" si="0"/>
        <v>0.92569444444444449</v>
      </c>
    </row>
    <row r="43" spans="1:4" x14ac:dyDescent="0.35">
      <c r="A43">
        <v>41</v>
      </c>
      <c r="B43" t="s">
        <v>44</v>
      </c>
      <c r="C43">
        <v>0.42520000000000002</v>
      </c>
      <c r="D43">
        <f t="shared" si="0"/>
        <v>1.476388888888889</v>
      </c>
    </row>
    <row r="44" spans="1:4" x14ac:dyDescent="0.35">
      <c r="A44">
        <v>42</v>
      </c>
      <c r="B44" t="s">
        <v>45</v>
      </c>
      <c r="C44">
        <v>0.23749999999999999</v>
      </c>
      <c r="D44">
        <f t="shared" si="0"/>
        <v>0.82465277777777779</v>
      </c>
    </row>
    <row r="45" spans="1:4" x14ac:dyDescent="0.35">
      <c r="A45">
        <v>43</v>
      </c>
      <c r="B45" t="s">
        <v>46</v>
      </c>
      <c r="C45">
        <v>4.5199999999999997E-2</v>
      </c>
      <c r="D45">
        <f t="shared" si="0"/>
        <v>0.15694444444444444</v>
      </c>
    </row>
    <row r="46" spans="1:4" x14ac:dyDescent="0.35">
      <c r="A46">
        <v>44</v>
      </c>
      <c r="B46" t="s">
        <v>47</v>
      </c>
      <c r="C46">
        <v>0.30590000000000001</v>
      </c>
      <c r="D46">
        <f t="shared" si="0"/>
        <v>1.0621527777777779</v>
      </c>
    </row>
    <row r="47" spans="1:4" x14ac:dyDescent="0.35">
      <c r="A47">
        <v>45</v>
      </c>
      <c r="B47" t="s">
        <v>48</v>
      </c>
      <c r="C47">
        <v>3.0700000000000002E-2</v>
      </c>
      <c r="D47">
        <f t="shared" si="0"/>
        <v>0.10659722222222223</v>
      </c>
    </row>
    <row r="48" spans="1:4" x14ac:dyDescent="0.35">
      <c r="A48">
        <v>46</v>
      </c>
      <c r="B48" t="s">
        <v>49</v>
      </c>
      <c r="C48">
        <v>0.2843</v>
      </c>
      <c r="D48">
        <f t="shared" si="0"/>
        <v>0.98715277777777788</v>
      </c>
    </row>
    <row r="49" spans="1:4" x14ac:dyDescent="0.35">
      <c r="A49">
        <v>47</v>
      </c>
      <c r="B49" t="s">
        <v>50</v>
      </c>
      <c r="C49">
        <v>1.89E-2</v>
      </c>
      <c r="D49">
        <f t="shared" si="0"/>
        <v>6.5625000000000003E-2</v>
      </c>
    </row>
    <row r="50" spans="1:4" x14ac:dyDescent="0.35">
      <c r="A50">
        <v>48</v>
      </c>
      <c r="B50" t="s">
        <v>51</v>
      </c>
      <c r="C50">
        <v>1.3899999999999999E-2</v>
      </c>
      <c r="D50">
        <f t="shared" si="0"/>
        <v>4.8263888888888891E-2</v>
      </c>
    </row>
    <row r="51" spans="1:4" x14ac:dyDescent="0.35">
      <c r="A51">
        <v>49</v>
      </c>
      <c r="B51" t="s">
        <v>52</v>
      </c>
      <c r="C51">
        <v>1.9E-3</v>
      </c>
      <c r="D51">
        <f t="shared" si="0"/>
        <v>6.5972222222222231E-3</v>
      </c>
    </row>
    <row r="52" spans="1:4" x14ac:dyDescent="0.35">
      <c r="A52">
        <v>50</v>
      </c>
      <c r="B52" t="s">
        <v>53</v>
      </c>
      <c r="C52">
        <v>4.1999999999999997E-3</v>
      </c>
      <c r="D52">
        <f t="shared" si="0"/>
        <v>1.4583333333333334E-2</v>
      </c>
    </row>
    <row r="53" spans="1:4" x14ac:dyDescent="0.35">
      <c r="A53">
        <v>51</v>
      </c>
      <c r="B53" t="s">
        <v>64</v>
      </c>
      <c r="C53">
        <v>0.61599999999999999</v>
      </c>
      <c r="D53">
        <f t="shared" si="0"/>
        <v>2.1388888888888888</v>
      </c>
    </row>
    <row r="54" spans="1:4" x14ac:dyDescent="0.35">
      <c r="A54">
        <v>52</v>
      </c>
      <c r="B54" t="s">
        <v>64</v>
      </c>
      <c r="C54">
        <v>0.75339999999999996</v>
      </c>
      <c r="D54">
        <f t="shared" si="0"/>
        <v>2.6159722222222221</v>
      </c>
    </row>
    <row r="55" spans="1:4" x14ac:dyDescent="0.35">
      <c r="A55">
        <v>53</v>
      </c>
      <c r="B55" t="s">
        <v>64</v>
      </c>
      <c r="C55">
        <v>0.53410000000000002</v>
      </c>
      <c r="D55">
        <f t="shared" si="0"/>
        <v>1.854513888888889</v>
      </c>
    </row>
    <row r="56" spans="1:4" x14ac:dyDescent="0.35">
      <c r="A56">
        <v>54</v>
      </c>
      <c r="B56" t="s">
        <v>64</v>
      </c>
      <c r="C56">
        <v>0.89770000000000005</v>
      </c>
      <c r="D56">
        <f t="shared" si="0"/>
        <v>3.1170138888888892</v>
      </c>
    </row>
    <row r="57" spans="1:4" x14ac:dyDescent="0.35">
      <c r="A57">
        <v>55</v>
      </c>
      <c r="B57" t="s">
        <v>64</v>
      </c>
      <c r="C57">
        <v>0.71750000000000003</v>
      </c>
      <c r="D57">
        <f t="shared" si="0"/>
        <v>2.4913194444444446</v>
      </c>
    </row>
    <row r="58" spans="1:4" x14ac:dyDescent="0.35">
      <c r="A58">
        <v>56</v>
      </c>
      <c r="B58" t="s">
        <v>64</v>
      </c>
      <c r="C58">
        <v>0.89259999999999995</v>
      </c>
      <c r="D58">
        <f t="shared" si="0"/>
        <v>3.0993055555555555</v>
      </c>
    </row>
    <row r="59" spans="1:4" x14ac:dyDescent="0.35">
      <c r="A59">
        <v>57</v>
      </c>
      <c r="B59" t="s">
        <v>64</v>
      </c>
      <c r="C59">
        <v>0.5736</v>
      </c>
      <c r="D59">
        <f t="shared" si="0"/>
        <v>1.9916666666666669</v>
      </c>
    </row>
    <row r="60" spans="1:4" x14ac:dyDescent="0.35">
      <c r="A60">
        <v>58</v>
      </c>
      <c r="B60" t="s">
        <v>64</v>
      </c>
      <c r="C60">
        <v>0.94440000000000002</v>
      </c>
      <c r="D60">
        <f t="shared" si="0"/>
        <v>3.2791666666666668</v>
      </c>
    </row>
    <row r="61" spans="1:4" x14ac:dyDescent="0.35">
      <c r="A61">
        <v>59</v>
      </c>
      <c r="B61" t="s">
        <v>64</v>
      </c>
      <c r="C61">
        <v>0.66800000000000004</v>
      </c>
      <c r="D61">
        <f t="shared" si="0"/>
        <v>2.3194444444444446</v>
      </c>
    </row>
    <row r="62" spans="1:4" x14ac:dyDescent="0.35">
      <c r="A62">
        <v>60</v>
      </c>
      <c r="B62" t="s">
        <v>64</v>
      </c>
      <c r="C62">
        <v>0.45419999999999999</v>
      </c>
      <c r="D62">
        <f t="shared" si="0"/>
        <v>1.5770833333333334</v>
      </c>
    </row>
    <row r="63" spans="1:4" x14ac:dyDescent="0.35">
      <c r="A63">
        <v>61</v>
      </c>
      <c r="B63" t="s">
        <v>64</v>
      </c>
      <c r="C63">
        <v>5.8700000000000002E-2</v>
      </c>
      <c r="D63">
        <f t="shared" si="0"/>
        <v>0.20381944444444447</v>
      </c>
    </row>
    <row r="64" spans="1:4" x14ac:dyDescent="0.35">
      <c r="A64">
        <v>62</v>
      </c>
      <c r="B64" t="s">
        <v>64</v>
      </c>
      <c r="C64">
        <v>0.4471</v>
      </c>
      <c r="D64">
        <f t="shared" si="0"/>
        <v>1.5524305555555558</v>
      </c>
    </row>
    <row r="65" spans="1:4" x14ac:dyDescent="0.35">
      <c r="A65">
        <v>63</v>
      </c>
      <c r="B65" t="s">
        <v>64</v>
      </c>
      <c r="C65">
        <v>0.73509999999999998</v>
      </c>
      <c r="D65">
        <f t="shared" si="0"/>
        <v>2.5524305555555555</v>
      </c>
    </row>
    <row r="66" spans="1:4" x14ac:dyDescent="0.35">
      <c r="A66">
        <v>64</v>
      </c>
      <c r="B66" t="s">
        <v>64</v>
      </c>
      <c r="C66">
        <v>0.95699999999999996</v>
      </c>
      <c r="D66">
        <f t="shared" si="0"/>
        <v>3.322916666666667</v>
      </c>
    </row>
    <row r="67" spans="1:4" x14ac:dyDescent="0.35">
      <c r="A67">
        <v>65</v>
      </c>
      <c r="B67" t="s">
        <v>64</v>
      </c>
      <c r="C67">
        <v>0.93020000000000003</v>
      </c>
      <c r="D67">
        <f t="shared" si="0"/>
        <v>3.2298611111111115</v>
      </c>
    </row>
    <row r="68" spans="1:4" x14ac:dyDescent="0.35">
      <c r="A68">
        <v>66</v>
      </c>
      <c r="B68" t="s">
        <v>64</v>
      </c>
      <c r="C68">
        <v>0.49869999999999998</v>
      </c>
      <c r="D68">
        <f t="shared" ref="D68:D76" si="1">(C68/0.288)</f>
        <v>1.7315972222222222</v>
      </c>
    </row>
    <row r="69" spans="1:4" x14ac:dyDescent="0.35">
      <c r="A69">
        <v>67</v>
      </c>
      <c r="B69" t="s">
        <v>64</v>
      </c>
      <c r="C69">
        <v>0.39140000000000003</v>
      </c>
      <c r="D69">
        <f t="shared" si="1"/>
        <v>1.3590277777777779</v>
      </c>
    </row>
    <row r="70" spans="1:4" x14ac:dyDescent="0.35">
      <c r="A70">
        <v>68</v>
      </c>
      <c r="B70" t="s">
        <v>64</v>
      </c>
      <c r="C70">
        <v>0.69099999999999995</v>
      </c>
      <c r="D70">
        <f t="shared" si="1"/>
        <v>2.3993055555555554</v>
      </c>
    </row>
    <row r="71" spans="1:4" x14ac:dyDescent="0.35">
      <c r="A71">
        <v>69</v>
      </c>
      <c r="B71" t="s">
        <v>64</v>
      </c>
      <c r="C71">
        <v>0.53669999999999995</v>
      </c>
      <c r="D71">
        <f t="shared" si="1"/>
        <v>1.8635416666666667</v>
      </c>
    </row>
    <row r="72" spans="1:4" x14ac:dyDescent="0.35">
      <c r="A72">
        <v>70</v>
      </c>
      <c r="B72" t="s">
        <v>64</v>
      </c>
      <c r="C72">
        <v>0.46579999999999999</v>
      </c>
      <c r="D72">
        <f t="shared" si="1"/>
        <v>1.6173611111111112</v>
      </c>
    </row>
    <row r="73" spans="1:4" x14ac:dyDescent="0.35">
      <c r="A73">
        <v>71</v>
      </c>
      <c r="B73" t="s">
        <v>64</v>
      </c>
      <c r="C73">
        <v>0.48220000000000002</v>
      </c>
      <c r="D73">
        <f t="shared" si="1"/>
        <v>1.6743055555555557</v>
      </c>
    </row>
    <row r="74" spans="1:4" x14ac:dyDescent="0.35">
      <c r="A74">
        <v>72</v>
      </c>
      <c r="B74" t="s">
        <v>64</v>
      </c>
      <c r="C74">
        <v>0.69259999999999999</v>
      </c>
      <c r="D74">
        <f t="shared" si="1"/>
        <v>2.4048611111111113</v>
      </c>
    </row>
    <row r="75" spans="1:4" x14ac:dyDescent="0.35">
      <c r="A75">
        <v>73</v>
      </c>
      <c r="B75" t="s">
        <v>64</v>
      </c>
      <c r="C75">
        <v>0.3977</v>
      </c>
      <c r="D75">
        <f t="shared" si="1"/>
        <v>1.3809027777777778</v>
      </c>
    </row>
    <row r="76" spans="1:4" x14ac:dyDescent="0.35">
      <c r="A76">
        <v>74</v>
      </c>
      <c r="B76" t="s">
        <v>64</v>
      </c>
      <c r="C76">
        <v>8.48E-2</v>
      </c>
      <c r="D76">
        <f t="shared" si="1"/>
        <v>0.29444444444444445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workbookViewId="0"/>
  </sheetViews>
  <sheetFormatPr defaultRowHeight="14.5" x14ac:dyDescent="0.35"/>
  <sheetData>
    <row r="1" spans="1:10" x14ac:dyDescent="0.35">
      <c r="B1" t="s">
        <v>0</v>
      </c>
      <c r="C1" t="s">
        <v>66</v>
      </c>
    </row>
    <row r="2" spans="1:10" x14ac:dyDescent="0.35">
      <c r="B2" t="s">
        <v>2</v>
      </c>
      <c r="C2" t="s">
        <v>3</v>
      </c>
      <c r="E2" t="s">
        <v>60</v>
      </c>
    </row>
    <row r="3" spans="1:10" x14ac:dyDescent="0.35">
      <c r="A3">
        <v>1</v>
      </c>
      <c r="B3" t="s">
        <v>4</v>
      </c>
      <c r="C3">
        <v>5.8700000000000002E-2</v>
      </c>
      <c r="D3">
        <f>(C3-0.0004)</f>
        <v>5.8300000000000005E-2</v>
      </c>
      <c r="E3">
        <f>(D3/0.079)</f>
        <v>0.73797468354430384</v>
      </c>
      <c r="H3">
        <v>0</v>
      </c>
      <c r="I3">
        <v>4.0000000000000002E-4</v>
      </c>
      <c r="J3">
        <f>(I3-0.0004)</f>
        <v>0</v>
      </c>
    </row>
    <row r="4" spans="1:10" x14ac:dyDescent="0.35">
      <c r="A4">
        <v>2</v>
      </c>
      <c r="B4" t="s">
        <v>5</v>
      </c>
      <c r="C4">
        <v>9.7000000000000003E-2</v>
      </c>
      <c r="D4">
        <f t="shared" ref="D4:D42" si="0">(C4-0.0004)</f>
        <v>9.6600000000000005E-2</v>
      </c>
      <c r="E4">
        <f t="shared" ref="E4:E52" si="1">(D4/0.079)</f>
        <v>1.2227848101265824</v>
      </c>
      <c r="H4">
        <v>0.5</v>
      </c>
      <c r="I4">
        <v>5.0999999999999997E-2</v>
      </c>
      <c r="J4">
        <f t="shared" ref="J4:J10" si="2">(I4-0.0004)</f>
        <v>5.0599999999999999E-2</v>
      </c>
    </row>
    <row r="5" spans="1:10" x14ac:dyDescent="0.35">
      <c r="A5">
        <v>3</v>
      </c>
      <c r="B5" t="s">
        <v>6</v>
      </c>
      <c r="C5">
        <v>3.2500000000000001E-2</v>
      </c>
      <c r="D5">
        <f t="shared" si="0"/>
        <v>3.2100000000000004E-2</v>
      </c>
      <c r="E5">
        <f t="shared" si="1"/>
        <v>0.40632911392405069</v>
      </c>
      <c r="H5">
        <v>1</v>
      </c>
      <c r="I5">
        <v>9.1200000000000003E-2</v>
      </c>
      <c r="J5">
        <f t="shared" si="2"/>
        <v>9.0800000000000006E-2</v>
      </c>
    </row>
    <row r="6" spans="1:10" x14ac:dyDescent="0.35">
      <c r="A6">
        <v>4</v>
      </c>
      <c r="B6" t="s">
        <v>7</v>
      </c>
      <c r="C6">
        <v>6.7900000000000002E-2</v>
      </c>
      <c r="D6">
        <f t="shared" si="0"/>
        <v>6.7500000000000004E-2</v>
      </c>
      <c r="E6">
        <f t="shared" si="1"/>
        <v>0.85443037974683544</v>
      </c>
      <c r="H6">
        <v>2</v>
      </c>
      <c r="I6">
        <v>0.1588</v>
      </c>
      <c r="J6">
        <f t="shared" si="2"/>
        <v>0.15839999999999999</v>
      </c>
    </row>
    <row r="7" spans="1:10" x14ac:dyDescent="0.35">
      <c r="A7">
        <v>5</v>
      </c>
      <c r="B7" t="s">
        <v>8</v>
      </c>
      <c r="C7">
        <v>5.8900000000000001E-2</v>
      </c>
      <c r="D7">
        <f t="shared" si="0"/>
        <v>5.8500000000000003E-2</v>
      </c>
      <c r="E7">
        <f t="shared" si="1"/>
        <v>0.74050632911392411</v>
      </c>
      <c r="H7">
        <v>4</v>
      </c>
      <c r="I7">
        <v>0.32200000000000001</v>
      </c>
      <c r="J7">
        <f t="shared" si="2"/>
        <v>0.3216</v>
      </c>
    </row>
    <row r="8" spans="1:10" x14ac:dyDescent="0.35">
      <c r="A8">
        <v>6</v>
      </c>
      <c r="B8" t="s">
        <v>9</v>
      </c>
      <c r="C8">
        <v>7.1400000000000005E-2</v>
      </c>
      <c r="D8">
        <f t="shared" si="0"/>
        <v>7.1000000000000008E-2</v>
      </c>
      <c r="E8">
        <f t="shared" si="1"/>
        <v>0.89873417721519</v>
      </c>
      <c r="H8">
        <v>6</v>
      </c>
      <c r="I8">
        <v>0.61240000000000006</v>
      </c>
      <c r="J8">
        <f t="shared" si="2"/>
        <v>0.6120000000000001</v>
      </c>
    </row>
    <row r="9" spans="1:10" x14ac:dyDescent="0.35">
      <c r="A9">
        <v>7</v>
      </c>
      <c r="B9" t="s">
        <v>10</v>
      </c>
      <c r="C9">
        <v>4.0500000000000001E-2</v>
      </c>
      <c r="D9">
        <f t="shared" si="0"/>
        <v>4.0100000000000004E-2</v>
      </c>
      <c r="E9">
        <f t="shared" si="1"/>
        <v>0.5075949367088608</v>
      </c>
      <c r="H9">
        <v>8</v>
      </c>
      <c r="I9">
        <v>0.68500000000000005</v>
      </c>
      <c r="J9">
        <f t="shared" si="2"/>
        <v>0.6846000000000001</v>
      </c>
    </row>
    <row r="10" spans="1:10" x14ac:dyDescent="0.35">
      <c r="A10">
        <v>8</v>
      </c>
      <c r="B10" t="s">
        <v>11</v>
      </c>
      <c r="C10">
        <v>5.8700000000000002E-2</v>
      </c>
      <c r="D10">
        <f t="shared" si="0"/>
        <v>5.8300000000000005E-2</v>
      </c>
      <c r="E10">
        <f t="shared" si="1"/>
        <v>0.73797468354430384</v>
      </c>
      <c r="H10">
        <v>10</v>
      </c>
      <c r="I10">
        <v>0.71589999999999998</v>
      </c>
      <c r="J10">
        <f t="shared" si="2"/>
        <v>0.71550000000000002</v>
      </c>
    </row>
    <row r="11" spans="1:10" x14ac:dyDescent="0.35">
      <c r="A11">
        <v>9</v>
      </c>
      <c r="B11" t="s">
        <v>12</v>
      </c>
      <c r="C11">
        <v>3.0200000000000001E-2</v>
      </c>
      <c r="D11">
        <f t="shared" si="0"/>
        <v>2.98E-2</v>
      </c>
      <c r="E11">
        <f t="shared" si="1"/>
        <v>0.37721518987341773</v>
      </c>
    </row>
    <row r="12" spans="1:10" x14ac:dyDescent="0.35">
      <c r="A12">
        <v>10</v>
      </c>
      <c r="B12" t="s">
        <v>13</v>
      </c>
      <c r="C12">
        <v>2.2599999999999999E-2</v>
      </c>
      <c r="D12">
        <f t="shared" si="0"/>
        <v>2.2199999999999998E-2</v>
      </c>
      <c r="E12">
        <f t="shared" si="1"/>
        <v>0.28101265822784804</v>
      </c>
    </row>
    <row r="13" spans="1:10" x14ac:dyDescent="0.35">
      <c r="A13">
        <v>11</v>
      </c>
      <c r="B13" t="s">
        <v>14</v>
      </c>
      <c r="C13">
        <v>2.23E-2</v>
      </c>
      <c r="D13">
        <f t="shared" si="0"/>
        <v>2.1899999999999999E-2</v>
      </c>
      <c r="E13">
        <f t="shared" si="1"/>
        <v>0.2772151898734177</v>
      </c>
    </row>
    <row r="14" spans="1:10" x14ac:dyDescent="0.35">
      <c r="A14">
        <v>12</v>
      </c>
      <c r="B14" t="s">
        <v>15</v>
      </c>
      <c r="C14">
        <v>7.7399999999999997E-2</v>
      </c>
      <c r="D14">
        <f t="shared" si="0"/>
        <v>7.6999999999999999E-2</v>
      </c>
      <c r="E14">
        <f t="shared" si="1"/>
        <v>0.97468354430379744</v>
      </c>
    </row>
    <row r="15" spans="1:10" x14ac:dyDescent="0.35">
      <c r="A15">
        <v>13</v>
      </c>
      <c r="B15" t="s">
        <v>16</v>
      </c>
      <c r="C15">
        <v>3.2000000000000001E-2</v>
      </c>
      <c r="D15">
        <f t="shared" si="0"/>
        <v>3.1600000000000003E-2</v>
      </c>
      <c r="E15">
        <f t="shared" si="1"/>
        <v>0.4</v>
      </c>
    </row>
    <row r="16" spans="1:10" x14ac:dyDescent="0.35">
      <c r="A16">
        <v>14</v>
      </c>
      <c r="B16" t="s">
        <v>17</v>
      </c>
      <c r="C16">
        <v>2.5399999999999999E-2</v>
      </c>
      <c r="D16">
        <f t="shared" si="0"/>
        <v>2.4999999999999998E-2</v>
      </c>
      <c r="E16">
        <f t="shared" si="1"/>
        <v>0.31645569620253161</v>
      </c>
    </row>
    <row r="17" spans="1:10" x14ac:dyDescent="0.35">
      <c r="A17">
        <v>15</v>
      </c>
      <c r="B17" t="s">
        <v>18</v>
      </c>
      <c r="C17">
        <v>2.52E-2</v>
      </c>
      <c r="D17">
        <f t="shared" si="0"/>
        <v>2.4799999999999999E-2</v>
      </c>
      <c r="E17">
        <f t="shared" si="1"/>
        <v>0.3139240506329114</v>
      </c>
    </row>
    <row r="18" spans="1:10" x14ac:dyDescent="0.35">
      <c r="A18">
        <v>16</v>
      </c>
      <c r="B18" t="s">
        <v>19</v>
      </c>
      <c r="C18">
        <v>2.7E-2</v>
      </c>
      <c r="D18">
        <f t="shared" si="0"/>
        <v>2.6599999999999999E-2</v>
      </c>
      <c r="E18">
        <f t="shared" si="1"/>
        <v>0.33670886075949363</v>
      </c>
    </row>
    <row r="19" spans="1:10" x14ac:dyDescent="0.35">
      <c r="A19">
        <v>17</v>
      </c>
      <c r="B19" t="s">
        <v>20</v>
      </c>
      <c r="C19">
        <v>6.5699999999999995E-2</v>
      </c>
      <c r="D19">
        <f t="shared" si="0"/>
        <v>6.5299999999999997E-2</v>
      </c>
      <c r="E19">
        <f t="shared" si="1"/>
        <v>0.82658227848101262</v>
      </c>
    </row>
    <row r="20" spans="1:10" x14ac:dyDescent="0.35">
      <c r="A20">
        <v>18</v>
      </c>
      <c r="B20" t="s">
        <v>21</v>
      </c>
      <c r="C20">
        <v>2.8799999999999999E-2</v>
      </c>
      <c r="D20">
        <f t="shared" si="0"/>
        <v>2.8399999999999998E-2</v>
      </c>
      <c r="E20">
        <f t="shared" si="1"/>
        <v>0.35949367088607592</v>
      </c>
    </row>
    <row r="21" spans="1:10" x14ac:dyDescent="0.35">
      <c r="A21">
        <v>19</v>
      </c>
      <c r="B21" t="s">
        <v>22</v>
      </c>
      <c r="C21">
        <v>4.8899999999999999E-2</v>
      </c>
      <c r="D21">
        <f t="shared" si="0"/>
        <v>4.8500000000000001E-2</v>
      </c>
      <c r="E21">
        <f t="shared" si="1"/>
        <v>0.61392405063291144</v>
      </c>
    </row>
    <row r="22" spans="1:10" x14ac:dyDescent="0.35">
      <c r="A22">
        <v>20</v>
      </c>
      <c r="B22" t="s">
        <v>23</v>
      </c>
      <c r="C22">
        <v>3.7400000000000003E-2</v>
      </c>
      <c r="D22">
        <f t="shared" si="0"/>
        <v>3.7000000000000005E-2</v>
      </c>
      <c r="E22">
        <f t="shared" si="1"/>
        <v>0.46835443037974689</v>
      </c>
      <c r="H22">
        <v>0</v>
      </c>
      <c r="I22">
        <v>1.5E-3</v>
      </c>
      <c r="J22">
        <f>(I22-0.0015)</f>
        <v>0</v>
      </c>
    </row>
    <row r="23" spans="1:10" x14ac:dyDescent="0.35">
      <c r="A23">
        <v>21</v>
      </c>
      <c r="B23" t="s">
        <v>24</v>
      </c>
      <c r="C23">
        <v>3.0700000000000002E-2</v>
      </c>
      <c r="D23">
        <f t="shared" si="0"/>
        <v>3.0300000000000001E-2</v>
      </c>
      <c r="E23">
        <f t="shared" si="1"/>
        <v>0.38354430379746834</v>
      </c>
      <c r="H23">
        <v>0.5</v>
      </c>
      <c r="I23">
        <v>5.1700000000000003E-2</v>
      </c>
      <c r="J23">
        <f>(I23-0.0015)</f>
        <v>5.0200000000000002E-2</v>
      </c>
    </row>
    <row r="24" spans="1:10" x14ac:dyDescent="0.35">
      <c r="A24">
        <v>22</v>
      </c>
      <c r="B24" t="s">
        <v>25</v>
      </c>
      <c r="C24">
        <v>2.1499999999999998E-2</v>
      </c>
      <c r="D24">
        <f t="shared" si="0"/>
        <v>2.1099999999999997E-2</v>
      </c>
      <c r="E24">
        <f t="shared" si="1"/>
        <v>0.26708860759493669</v>
      </c>
      <c r="H24">
        <v>1</v>
      </c>
      <c r="I24">
        <v>9.2200000000000004E-2</v>
      </c>
      <c r="J24">
        <f>(I24-0.0015)</f>
        <v>9.0700000000000003E-2</v>
      </c>
    </row>
    <row r="25" spans="1:10" x14ac:dyDescent="0.35">
      <c r="A25">
        <v>23</v>
      </c>
      <c r="B25" t="s">
        <v>26</v>
      </c>
      <c r="C25">
        <v>3.0800000000000001E-2</v>
      </c>
      <c r="D25">
        <f t="shared" si="0"/>
        <v>3.04E-2</v>
      </c>
      <c r="E25">
        <f t="shared" si="1"/>
        <v>0.38481012658227848</v>
      </c>
      <c r="H25">
        <v>2</v>
      </c>
      <c r="I25">
        <v>0.15859999999999999</v>
      </c>
      <c r="J25">
        <f>(I25-0.0015)</f>
        <v>0.15709999999999999</v>
      </c>
    </row>
    <row r="26" spans="1:10" x14ac:dyDescent="0.35">
      <c r="A26">
        <v>24</v>
      </c>
      <c r="B26" t="s">
        <v>27</v>
      </c>
      <c r="C26">
        <v>2.7900000000000001E-2</v>
      </c>
      <c r="D26">
        <f t="shared" si="0"/>
        <v>2.75E-2</v>
      </c>
      <c r="E26">
        <f t="shared" si="1"/>
        <v>0.34810126582278483</v>
      </c>
      <c r="H26">
        <v>4</v>
      </c>
      <c r="I26">
        <v>0.32679999999999998</v>
      </c>
      <c r="J26">
        <f>(I26-0.0015)</f>
        <v>0.32529999999999998</v>
      </c>
    </row>
    <row r="27" spans="1:10" x14ac:dyDescent="0.35">
      <c r="A27">
        <v>25</v>
      </c>
      <c r="B27" t="s">
        <v>28</v>
      </c>
      <c r="C27">
        <v>3.6200000000000003E-2</v>
      </c>
      <c r="D27">
        <f t="shared" si="0"/>
        <v>3.5800000000000005E-2</v>
      </c>
      <c r="E27">
        <f t="shared" si="1"/>
        <v>0.4531645569620254</v>
      </c>
    </row>
    <row r="28" spans="1:10" x14ac:dyDescent="0.35">
      <c r="A28">
        <v>26</v>
      </c>
      <c r="B28" t="s">
        <v>29</v>
      </c>
      <c r="C28">
        <v>3.3799999999999997E-2</v>
      </c>
      <c r="D28">
        <f t="shared" si="0"/>
        <v>3.3399999999999999E-2</v>
      </c>
      <c r="E28">
        <f t="shared" si="1"/>
        <v>0.42278481012658226</v>
      </c>
    </row>
    <row r="29" spans="1:10" x14ac:dyDescent="0.35">
      <c r="A29">
        <v>27</v>
      </c>
      <c r="B29" t="s">
        <v>30</v>
      </c>
      <c r="C29">
        <v>2.7300000000000001E-2</v>
      </c>
      <c r="D29">
        <f t="shared" si="0"/>
        <v>2.69E-2</v>
      </c>
      <c r="E29">
        <f t="shared" si="1"/>
        <v>0.34050632911392403</v>
      </c>
    </row>
    <row r="30" spans="1:10" x14ac:dyDescent="0.35">
      <c r="A30">
        <v>28</v>
      </c>
      <c r="B30" t="s">
        <v>31</v>
      </c>
      <c r="C30">
        <v>2.7400000000000001E-2</v>
      </c>
      <c r="D30">
        <f t="shared" si="0"/>
        <v>2.7E-2</v>
      </c>
      <c r="E30">
        <f t="shared" si="1"/>
        <v>0.34177215189873417</v>
      </c>
    </row>
    <row r="31" spans="1:10" x14ac:dyDescent="0.35">
      <c r="A31">
        <v>29</v>
      </c>
      <c r="B31" t="s">
        <v>32</v>
      </c>
      <c r="C31">
        <v>2.3699999999999999E-2</v>
      </c>
      <c r="D31">
        <f t="shared" si="0"/>
        <v>2.3299999999999998E-2</v>
      </c>
      <c r="E31">
        <f t="shared" si="1"/>
        <v>0.29493670886075946</v>
      </c>
    </row>
    <row r="32" spans="1:10" x14ac:dyDescent="0.35">
      <c r="A32">
        <v>30</v>
      </c>
      <c r="B32" t="s">
        <v>33</v>
      </c>
      <c r="C32">
        <v>3.0099999999999998E-2</v>
      </c>
      <c r="D32">
        <f t="shared" si="0"/>
        <v>2.9699999999999997E-2</v>
      </c>
      <c r="E32">
        <f t="shared" si="1"/>
        <v>0.37594936708860754</v>
      </c>
    </row>
    <row r="33" spans="1:5" x14ac:dyDescent="0.35">
      <c r="A33">
        <v>31</v>
      </c>
      <c r="B33" t="s">
        <v>34</v>
      </c>
      <c r="C33">
        <v>2.2800000000000001E-2</v>
      </c>
      <c r="D33">
        <f t="shared" si="0"/>
        <v>2.24E-2</v>
      </c>
      <c r="E33">
        <f t="shared" si="1"/>
        <v>0.28354430379746837</v>
      </c>
    </row>
    <row r="34" spans="1:5" x14ac:dyDescent="0.35">
      <c r="A34">
        <v>32</v>
      </c>
      <c r="B34" t="s">
        <v>35</v>
      </c>
      <c r="C34">
        <v>2.9399999999999999E-2</v>
      </c>
      <c r="D34">
        <f t="shared" si="0"/>
        <v>2.8999999999999998E-2</v>
      </c>
      <c r="E34">
        <f t="shared" si="1"/>
        <v>0.36708860759493667</v>
      </c>
    </row>
    <row r="35" spans="1:5" x14ac:dyDescent="0.35">
      <c r="A35">
        <v>33</v>
      </c>
      <c r="B35" t="s">
        <v>36</v>
      </c>
      <c r="C35">
        <v>1.5599999999999999E-2</v>
      </c>
      <c r="D35">
        <f t="shared" si="0"/>
        <v>1.52E-2</v>
      </c>
      <c r="E35">
        <f t="shared" si="1"/>
        <v>0.19240506329113924</v>
      </c>
    </row>
    <row r="36" spans="1:5" x14ac:dyDescent="0.35">
      <c r="A36">
        <v>34</v>
      </c>
      <c r="B36" t="s">
        <v>37</v>
      </c>
      <c r="C36">
        <v>2.7E-2</v>
      </c>
      <c r="D36">
        <f t="shared" si="0"/>
        <v>2.6599999999999999E-2</v>
      </c>
      <c r="E36">
        <f t="shared" si="1"/>
        <v>0.33670886075949363</v>
      </c>
    </row>
    <row r="37" spans="1:5" x14ac:dyDescent="0.35">
      <c r="A37">
        <v>35</v>
      </c>
      <c r="B37" t="s">
        <v>38</v>
      </c>
      <c r="C37">
        <v>1.77E-2</v>
      </c>
      <c r="D37">
        <f t="shared" si="0"/>
        <v>1.7299999999999999E-2</v>
      </c>
      <c r="E37">
        <f t="shared" si="1"/>
        <v>0.2189873417721519</v>
      </c>
    </row>
    <row r="38" spans="1:5" x14ac:dyDescent="0.35">
      <c r="A38">
        <v>36</v>
      </c>
      <c r="B38" t="s">
        <v>39</v>
      </c>
      <c r="C38">
        <v>3.39E-2</v>
      </c>
      <c r="D38">
        <f t="shared" si="0"/>
        <v>3.3500000000000002E-2</v>
      </c>
      <c r="E38">
        <f t="shared" si="1"/>
        <v>0.42405063291139244</v>
      </c>
    </row>
    <row r="39" spans="1:5" x14ac:dyDescent="0.35">
      <c r="A39">
        <v>37</v>
      </c>
      <c r="B39" t="s">
        <v>40</v>
      </c>
      <c r="C39">
        <v>1.89E-2</v>
      </c>
      <c r="D39">
        <f t="shared" si="0"/>
        <v>1.8499999999999999E-2</v>
      </c>
      <c r="E39">
        <f t="shared" si="1"/>
        <v>0.23417721518987342</v>
      </c>
    </row>
    <row r="40" spans="1:5" x14ac:dyDescent="0.35">
      <c r="A40">
        <v>38</v>
      </c>
      <c r="B40" t="s">
        <v>41</v>
      </c>
      <c r="C40">
        <v>2.8500000000000001E-2</v>
      </c>
      <c r="D40">
        <f t="shared" si="0"/>
        <v>2.81E-2</v>
      </c>
      <c r="E40">
        <f t="shared" si="1"/>
        <v>0.35569620253164558</v>
      </c>
    </row>
    <row r="41" spans="1:5" x14ac:dyDescent="0.35">
      <c r="A41">
        <v>39</v>
      </c>
      <c r="B41" t="s">
        <v>42</v>
      </c>
      <c r="C41">
        <v>2.5700000000000001E-2</v>
      </c>
      <c r="D41">
        <f t="shared" si="0"/>
        <v>2.53E-2</v>
      </c>
      <c r="E41">
        <f t="shared" si="1"/>
        <v>0.32025316455696201</v>
      </c>
    </row>
    <row r="42" spans="1:5" x14ac:dyDescent="0.35">
      <c r="A42">
        <v>40</v>
      </c>
      <c r="B42" t="s">
        <v>43</v>
      </c>
      <c r="C42">
        <v>2.46E-2</v>
      </c>
      <c r="D42">
        <f t="shared" si="0"/>
        <v>2.4199999999999999E-2</v>
      </c>
      <c r="E42">
        <f t="shared" si="1"/>
        <v>0.3063291139240506</v>
      </c>
    </row>
    <row r="43" spans="1:5" x14ac:dyDescent="0.35">
      <c r="A43">
        <v>41</v>
      </c>
      <c r="B43" t="s">
        <v>44</v>
      </c>
      <c r="C43">
        <v>3.7600000000000001E-2</v>
      </c>
      <c r="D43">
        <f>(C43-0.0015)</f>
        <v>3.61E-2</v>
      </c>
      <c r="E43">
        <f t="shared" si="1"/>
        <v>0.45696202531645569</v>
      </c>
    </row>
    <row r="44" spans="1:5" x14ac:dyDescent="0.35">
      <c r="A44">
        <v>42</v>
      </c>
      <c r="B44" t="s">
        <v>45</v>
      </c>
      <c r="C44">
        <v>2.52E-2</v>
      </c>
      <c r="D44">
        <f t="shared" ref="D44:D52" si="3">(C44-0.0015)</f>
        <v>2.3699999999999999E-2</v>
      </c>
      <c r="E44">
        <f t="shared" si="1"/>
        <v>0.3</v>
      </c>
    </row>
    <row r="45" spans="1:5" x14ac:dyDescent="0.35">
      <c r="A45">
        <v>43</v>
      </c>
      <c r="B45" t="s">
        <v>46</v>
      </c>
      <c r="C45">
        <v>1.84E-2</v>
      </c>
      <c r="D45">
        <f t="shared" si="3"/>
        <v>1.6899999999999998E-2</v>
      </c>
      <c r="E45">
        <f t="shared" si="1"/>
        <v>0.21392405063291137</v>
      </c>
    </row>
    <row r="46" spans="1:5" x14ac:dyDescent="0.35">
      <c r="A46">
        <v>44</v>
      </c>
      <c r="B46" t="s">
        <v>47</v>
      </c>
      <c r="C46">
        <v>2.7E-2</v>
      </c>
      <c r="D46">
        <f t="shared" si="3"/>
        <v>2.5499999999999998E-2</v>
      </c>
      <c r="E46">
        <f t="shared" si="1"/>
        <v>0.32278481012658228</v>
      </c>
    </row>
    <row r="47" spans="1:5" x14ac:dyDescent="0.35">
      <c r="A47">
        <v>45</v>
      </c>
      <c r="B47" t="s">
        <v>48</v>
      </c>
      <c r="C47">
        <v>7.7000000000000002E-3</v>
      </c>
      <c r="D47">
        <f t="shared" si="3"/>
        <v>6.2000000000000006E-3</v>
      </c>
      <c r="E47">
        <f t="shared" si="1"/>
        <v>7.848101265822785E-2</v>
      </c>
    </row>
    <row r="48" spans="1:5" x14ac:dyDescent="0.35">
      <c r="A48">
        <v>46</v>
      </c>
      <c r="B48" t="s">
        <v>49</v>
      </c>
      <c r="C48">
        <v>2.41E-2</v>
      </c>
      <c r="D48">
        <f t="shared" si="3"/>
        <v>2.2599999999999999E-2</v>
      </c>
      <c r="E48">
        <f t="shared" si="1"/>
        <v>0.28607594936708858</v>
      </c>
    </row>
    <row r="49" spans="1:5" x14ac:dyDescent="0.35">
      <c r="A49">
        <v>47</v>
      </c>
      <c r="B49" t="s">
        <v>50</v>
      </c>
      <c r="C49">
        <v>8.0000000000000004E-4</v>
      </c>
      <c r="D49">
        <f t="shared" si="3"/>
        <v>-6.9999999999999999E-4</v>
      </c>
      <c r="E49">
        <f t="shared" si="1"/>
        <v>-8.8607594936708865E-3</v>
      </c>
    </row>
    <row r="50" spans="1:5" x14ac:dyDescent="0.35">
      <c r="A50">
        <v>48</v>
      </c>
      <c r="B50" t="s">
        <v>51</v>
      </c>
      <c r="C50">
        <v>5.0000000000000001E-4</v>
      </c>
      <c r="D50">
        <f t="shared" si="3"/>
        <v>-1E-3</v>
      </c>
      <c r="E50">
        <f t="shared" si="1"/>
        <v>-1.2658227848101266E-2</v>
      </c>
    </row>
    <row r="51" spans="1:5" x14ac:dyDescent="0.35">
      <c r="A51">
        <v>49</v>
      </c>
      <c r="B51" t="s">
        <v>52</v>
      </c>
      <c r="C51">
        <v>-6.9999999999999999E-4</v>
      </c>
      <c r="D51">
        <f t="shared" si="3"/>
        <v>-2.2000000000000001E-3</v>
      </c>
      <c r="E51">
        <f t="shared" si="1"/>
        <v>-2.7848101265822787E-2</v>
      </c>
    </row>
    <row r="52" spans="1:5" x14ac:dyDescent="0.35">
      <c r="A52">
        <v>50</v>
      </c>
      <c r="B52" t="s">
        <v>53</v>
      </c>
      <c r="C52">
        <v>-2.9999999999999997E-4</v>
      </c>
      <c r="D52">
        <f t="shared" si="3"/>
        <v>-1.8E-3</v>
      </c>
      <c r="E52">
        <f t="shared" si="1"/>
        <v>-2.2784810126582278E-2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topLeftCell="A42" workbookViewId="0">
      <selection activeCell="C69" sqref="C69"/>
    </sheetView>
  </sheetViews>
  <sheetFormatPr defaultRowHeight="14.5" x14ac:dyDescent="0.35"/>
  <sheetData>
    <row r="1" spans="1:9" x14ac:dyDescent="0.35">
      <c r="B1" t="s">
        <v>0</v>
      </c>
      <c r="C1" t="s">
        <v>67</v>
      </c>
    </row>
    <row r="2" spans="1:9" x14ac:dyDescent="0.35">
      <c r="B2" t="s">
        <v>2</v>
      </c>
      <c r="C2" t="s">
        <v>3</v>
      </c>
      <c r="E2" t="s">
        <v>60</v>
      </c>
    </row>
    <row r="3" spans="1:9" x14ac:dyDescent="0.35">
      <c r="A3">
        <v>1</v>
      </c>
      <c r="B3" t="s">
        <v>4</v>
      </c>
      <c r="C3">
        <v>1.0500000000000001E-2</v>
      </c>
      <c r="D3">
        <f>(C3+0.0009)</f>
        <v>1.14E-2</v>
      </c>
      <c r="E3" s="3">
        <f>(D3/0.0389)</f>
        <v>0.29305912596401029</v>
      </c>
      <c r="G3">
        <v>0</v>
      </c>
      <c r="H3">
        <v>-8.9999999999999998E-4</v>
      </c>
      <c r="I3">
        <f>(H3+0.0009)</f>
        <v>0</v>
      </c>
    </row>
    <row r="4" spans="1:9" x14ac:dyDescent="0.35">
      <c r="A4">
        <v>2</v>
      </c>
      <c r="B4" t="s">
        <v>5</v>
      </c>
      <c r="C4">
        <v>1.1299999999999999E-2</v>
      </c>
      <c r="D4">
        <f t="shared" ref="D4:D42" si="0">(C4+0.0009)</f>
        <v>1.2199999999999999E-2</v>
      </c>
      <c r="E4" s="3">
        <f t="shared" ref="E4:E42" si="1">(D4/0.0389)</f>
        <v>0.31362467866323906</v>
      </c>
      <c r="G4">
        <v>0.25</v>
      </c>
    </row>
    <row r="5" spans="1:9" x14ac:dyDescent="0.35">
      <c r="A5">
        <v>3</v>
      </c>
      <c r="B5" t="s">
        <v>6</v>
      </c>
      <c r="C5">
        <v>1.2699999999999999E-2</v>
      </c>
      <c r="D5">
        <f t="shared" si="0"/>
        <v>1.3599999999999999E-2</v>
      </c>
      <c r="E5" s="3">
        <f t="shared" si="1"/>
        <v>0.34961439588688947</v>
      </c>
      <c r="G5">
        <v>0.5</v>
      </c>
      <c r="H5">
        <v>2.1299999999999999E-2</v>
      </c>
      <c r="I5">
        <f>(H5+0.0009)</f>
        <v>2.2200000000000001E-2</v>
      </c>
    </row>
    <row r="6" spans="1:9" x14ac:dyDescent="0.35">
      <c r="A6">
        <v>4</v>
      </c>
      <c r="B6" t="s">
        <v>7</v>
      </c>
      <c r="C6">
        <v>7.4999999999999997E-3</v>
      </c>
      <c r="D6">
        <f t="shared" si="0"/>
        <v>8.3999999999999995E-3</v>
      </c>
      <c r="E6" s="3">
        <f t="shared" si="1"/>
        <v>0.21593830334190231</v>
      </c>
      <c r="G6">
        <v>1</v>
      </c>
      <c r="H6">
        <v>3.7999999999999999E-2</v>
      </c>
      <c r="I6">
        <f>(H6+0.0009)</f>
        <v>3.8899999999999997E-2</v>
      </c>
    </row>
    <row r="7" spans="1:9" x14ac:dyDescent="0.35">
      <c r="A7">
        <v>5</v>
      </c>
      <c r="B7" t="s">
        <v>8</v>
      </c>
      <c r="C7">
        <v>1.3599999999999999E-2</v>
      </c>
      <c r="D7">
        <f t="shared" si="0"/>
        <v>1.4499999999999999E-2</v>
      </c>
      <c r="E7" s="3">
        <f t="shared" si="1"/>
        <v>0.37275064267352187</v>
      </c>
      <c r="G7">
        <v>2</v>
      </c>
      <c r="H7">
        <v>6.0499999999999998E-2</v>
      </c>
      <c r="I7">
        <f>(H7+0.0009)</f>
        <v>6.1399999999999996E-2</v>
      </c>
    </row>
    <row r="8" spans="1:9" x14ac:dyDescent="0.35">
      <c r="A8">
        <v>6</v>
      </c>
      <c r="B8" t="s">
        <v>9</v>
      </c>
      <c r="C8">
        <v>1.03E-2</v>
      </c>
      <c r="D8">
        <f t="shared" si="0"/>
        <v>1.12E-2</v>
      </c>
      <c r="E8" s="3">
        <f t="shared" si="1"/>
        <v>0.2879177377892031</v>
      </c>
      <c r="G8">
        <v>4</v>
      </c>
      <c r="H8">
        <v>0.13830000000000001</v>
      </c>
      <c r="I8">
        <f>(H8+0.0009)</f>
        <v>0.13920000000000002</v>
      </c>
    </row>
    <row r="9" spans="1:9" x14ac:dyDescent="0.35">
      <c r="A9">
        <v>7</v>
      </c>
      <c r="B9" t="s">
        <v>10</v>
      </c>
      <c r="C9">
        <v>7.3000000000000001E-3</v>
      </c>
      <c r="D9">
        <f t="shared" si="0"/>
        <v>8.2000000000000007E-3</v>
      </c>
      <c r="E9" s="3">
        <f t="shared" si="1"/>
        <v>0.21079691516709514</v>
      </c>
    </row>
    <row r="10" spans="1:9" x14ac:dyDescent="0.35">
      <c r="A10">
        <v>8</v>
      </c>
      <c r="B10" t="s">
        <v>11</v>
      </c>
      <c r="C10">
        <v>1.14E-2</v>
      </c>
      <c r="D10">
        <f t="shared" si="0"/>
        <v>1.23E-2</v>
      </c>
      <c r="E10" s="3">
        <f t="shared" si="1"/>
        <v>0.31619537275064269</v>
      </c>
    </row>
    <row r="11" spans="1:9" x14ac:dyDescent="0.35">
      <c r="A11">
        <v>9</v>
      </c>
      <c r="B11" t="s">
        <v>12</v>
      </c>
      <c r="C11">
        <v>1.6299999999999999E-2</v>
      </c>
      <c r="D11">
        <f t="shared" si="0"/>
        <v>1.72E-2</v>
      </c>
      <c r="E11" s="3">
        <f t="shared" si="1"/>
        <v>0.44215938303341906</v>
      </c>
    </row>
    <row r="12" spans="1:9" x14ac:dyDescent="0.35">
      <c r="A12">
        <v>10</v>
      </c>
      <c r="B12" t="s">
        <v>13</v>
      </c>
      <c r="C12">
        <v>1.6899999999999998E-2</v>
      </c>
      <c r="D12">
        <f t="shared" si="0"/>
        <v>1.78E-2</v>
      </c>
      <c r="E12" s="3">
        <f t="shared" si="1"/>
        <v>0.45758354755784064</v>
      </c>
      <c r="G12">
        <v>0</v>
      </c>
      <c r="H12">
        <v>-1.8E-3</v>
      </c>
      <c r="I12">
        <f t="shared" ref="I12:I17" si="2">(H12+0.0018)</f>
        <v>0</v>
      </c>
    </row>
    <row r="13" spans="1:9" x14ac:dyDescent="0.35">
      <c r="A13">
        <v>11</v>
      </c>
      <c r="B13" t="s">
        <v>14</v>
      </c>
      <c r="C13">
        <v>1.7000000000000001E-2</v>
      </c>
      <c r="D13">
        <f t="shared" si="0"/>
        <v>1.7900000000000003E-2</v>
      </c>
      <c r="E13" s="3">
        <f t="shared" si="1"/>
        <v>0.46015424164524432</v>
      </c>
      <c r="G13">
        <v>0.25</v>
      </c>
      <c r="H13">
        <v>9.9000000000000008E-3</v>
      </c>
      <c r="I13">
        <f t="shared" si="2"/>
        <v>1.17E-2</v>
      </c>
    </row>
    <row r="14" spans="1:9" x14ac:dyDescent="0.35">
      <c r="A14">
        <v>12</v>
      </c>
      <c r="B14" t="s">
        <v>15</v>
      </c>
      <c r="C14">
        <v>1.01E-2</v>
      </c>
      <c r="D14">
        <f t="shared" si="0"/>
        <v>1.0999999999999999E-2</v>
      </c>
      <c r="E14" s="3">
        <f t="shared" si="1"/>
        <v>0.28277634961439591</v>
      </c>
      <c r="G14">
        <v>0.5</v>
      </c>
      <c r="H14">
        <v>2.0299999999999999E-2</v>
      </c>
      <c r="I14">
        <f t="shared" si="2"/>
        <v>2.2099999999999998E-2</v>
      </c>
    </row>
    <row r="15" spans="1:9" x14ac:dyDescent="0.35">
      <c r="A15">
        <v>13</v>
      </c>
      <c r="B15" t="s">
        <v>16</v>
      </c>
      <c r="C15">
        <v>5.4000000000000003E-3</v>
      </c>
      <c r="D15">
        <f t="shared" si="0"/>
        <v>6.3E-3</v>
      </c>
      <c r="E15" s="3">
        <f t="shared" si="1"/>
        <v>0.16195372750642675</v>
      </c>
      <c r="G15">
        <v>1</v>
      </c>
      <c r="H15">
        <v>3.8899999999999997E-2</v>
      </c>
      <c r="I15">
        <f t="shared" si="2"/>
        <v>4.07E-2</v>
      </c>
    </row>
    <row r="16" spans="1:9" x14ac:dyDescent="0.35">
      <c r="A16">
        <v>14</v>
      </c>
      <c r="B16" t="s">
        <v>17</v>
      </c>
      <c r="C16">
        <v>4.1999999999999997E-3</v>
      </c>
      <c r="D16">
        <f t="shared" si="0"/>
        <v>5.0999999999999995E-3</v>
      </c>
      <c r="E16" s="3">
        <f t="shared" si="1"/>
        <v>0.13110539845758354</v>
      </c>
      <c r="G16">
        <v>2</v>
      </c>
      <c r="H16">
        <v>6.2399999999999997E-2</v>
      </c>
      <c r="I16">
        <f t="shared" si="2"/>
        <v>6.4199999999999993E-2</v>
      </c>
    </row>
    <row r="17" spans="1:9" x14ac:dyDescent="0.35">
      <c r="A17">
        <v>15</v>
      </c>
      <c r="B17" t="s">
        <v>18</v>
      </c>
      <c r="C17">
        <v>6.4000000000000003E-3</v>
      </c>
      <c r="D17">
        <f t="shared" si="0"/>
        <v>7.3000000000000001E-3</v>
      </c>
      <c r="E17" s="3">
        <f t="shared" si="1"/>
        <v>0.18766066838046275</v>
      </c>
      <c r="G17">
        <v>4</v>
      </c>
      <c r="H17">
        <v>0.1343</v>
      </c>
      <c r="I17">
        <f t="shared" si="2"/>
        <v>0.1361</v>
      </c>
    </row>
    <row r="18" spans="1:9" x14ac:dyDescent="0.35">
      <c r="A18">
        <v>16</v>
      </c>
      <c r="B18" t="s">
        <v>19</v>
      </c>
      <c r="C18">
        <v>7.7000000000000002E-3</v>
      </c>
      <c r="D18">
        <f t="shared" si="0"/>
        <v>8.6E-3</v>
      </c>
      <c r="E18" s="3">
        <f t="shared" si="1"/>
        <v>0.22107969151670953</v>
      </c>
    </row>
    <row r="19" spans="1:9" x14ac:dyDescent="0.35">
      <c r="A19">
        <v>17</v>
      </c>
      <c r="B19" t="s">
        <v>20</v>
      </c>
      <c r="C19">
        <v>1.9E-2</v>
      </c>
      <c r="D19">
        <f t="shared" si="0"/>
        <v>1.9900000000000001E-2</v>
      </c>
      <c r="E19" s="3">
        <f t="shared" si="1"/>
        <v>0.51156812339331625</v>
      </c>
    </row>
    <row r="20" spans="1:9" x14ac:dyDescent="0.35">
      <c r="A20">
        <v>18</v>
      </c>
      <c r="B20" t="s">
        <v>21</v>
      </c>
      <c r="C20">
        <v>6.4999999999999997E-3</v>
      </c>
      <c r="D20">
        <f t="shared" si="0"/>
        <v>7.3999999999999995E-3</v>
      </c>
      <c r="E20" s="3">
        <f t="shared" si="1"/>
        <v>0.19023136246786632</v>
      </c>
    </row>
    <row r="21" spans="1:9" x14ac:dyDescent="0.35">
      <c r="A21">
        <v>19</v>
      </c>
      <c r="B21" t="s">
        <v>22</v>
      </c>
      <c r="C21">
        <v>8.6999999999999994E-3</v>
      </c>
      <c r="D21">
        <f t="shared" si="0"/>
        <v>9.5999999999999992E-3</v>
      </c>
      <c r="E21" s="3">
        <f t="shared" si="1"/>
        <v>0.2467866323907455</v>
      </c>
    </row>
    <row r="22" spans="1:9" x14ac:dyDescent="0.35">
      <c r="A22">
        <v>20</v>
      </c>
      <c r="B22" t="s">
        <v>23</v>
      </c>
      <c r="C22">
        <v>8.0000000000000002E-3</v>
      </c>
      <c r="D22">
        <f t="shared" si="0"/>
        <v>8.8999999999999999E-3</v>
      </c>
      <c r="E22" s="3">
        <f t="shared" si="1"/>
        <v>0.22879177377892032</v>
      </c>
    </row>
    <row r="23" spans="1:9" x14ac:dyDescent="0.35">
      <c r="A23">
        <v>21</v>
      </c>
      <c r="B23" t="s">
        <v>24</v>
      </c>
      <c r="C23">
        <v>1.38E-2</v>
      </c>
      <c r="D23">
        <f t="shared" si="0"/>
        <v>1.47E-2</v>
      </c>
      <c r="E23" s="3">
        <f t="shared" si="1"/>
        <v>0.37789203084832906</v>
      </c>
    </row>
    <row r="24" spans="1:9" x14ac:dyDescent="0.35">
      <c r="A24">
        <v>22</v>
      </c>
      <c r="B24" t="s">
        <v>25</v>
      </c>
      <c r="C24">
        <v>1.0200000000000001E-2</v>
      </c>
      <c r="D24">
        <f t="shared" si="0"/>
        <v>1.11E-2</v>
      </c>
      <c r="E24" s="3">
        <f t="shared" si="1"/>
        <v>0.28534704370179953</v>
      </c>
    </row>
    <row r="25" spans="1:9" x14ac:dyDescent="0.35">
      <c r="A25">
        <v>23</v>
      </c>
      <c r="B25" t="s">
        <v>26</v>
      </c>
      <c r="C25">
        <v>1.5900000000000001E-2</v>
      </c>
      <c r="D25">
        <f t="shared" si="0"/>
        <v>1.6800000000000002E-2</v>
      </c>
      <c r="E25" s="3">
        <f t="shared" si="1"/>
        <v>0.43187660668380473</v>
      </c>
    </row>
    <row r="26" spans="1:9" x14ac:dyDescent="0.35">
      <c r="A26">
        <v>24</v>
      </c>
      <c r="B26" t="s">
        <v>27</v>
      </c>
      <c r="C26">
        <v>1.6400000000000001E-2</v>
      </c>
      <c r="D26">
        <f t="shared" si="0"/>
        <v>1.7300000000000003E-2</v>
      </c>
      <c r="E26" s="3">
        <f t="shared" si="1"/>
        <v>0.44473007712082274</v>
      </c>
    </row>
    <row r="27" spans="1:9" x14ac:dyDescent="0.35">
      <c r="A27">
        <v>25</v>
      </c>
      <c r="B27" t="s">
        <v>28</v>
      </c>
      <c r="C27">
        <v>6.3E-3</v>
      </c>
      <c r="D27">
        <f t="shared" si="0"/>
        <v>7.1999999999999998E-3</v>
      </c>
      <c r="E27" s="3">
        <f t="shared" si="1"/>
        <v>0.18508997429305912</v>
      </c>
    </row>
    <row r="28" spans="1:9" x14ac:dyDescent="0.35">
      <c r="A28">
        <v>26</v>
      </c>
      <c r="B28" t="s">
        <v>29</v>
      </c>
      <c r="C28">
        <v>9.4999999999999998E-3</v>
      </c>
      <c r="D28">
        <f t="shared" si="0"/>
        <v>1.04E-2</v>
      </c>
      <c r="E28" s="3">
        <f t="shared" si="1"/>
        <v>0.26735218508997433</v>
      </c>
    </row>
    <row r="29" spans="1:9" x14ac:dyDescent="0.35">
      <c r="A29">
        <v>27</v>
      </c>
      <c r="B29" t="s">
        <v>30</v>
      </c>
      <c r="C29">
        <v>5.5999999999999999E-3</v>
      </c>
      <c r="D29">
        <f t="shared" si="0"/>
        <v>6.4999999999999997E-3</v>
      </c>
      <c r="E29" s="3">
        <f t="shared" si="1"/>
        <v>0.16709511568123395</v>
      </c>
    </row>
    <row r="30" spans="1:9" x14ac:dyDescent="0.35">
      <c r="A30">
        <v>28</v>
      </c>
      <c r="B30" t="s">
        <v>31</v>
      </c>
      <c r="C30">
        <v>1.04E-2</v>
      </c>
      <c r="D30">
        <f t="shared" si="0"/>
        <v>1.1299999999999999E-2</v>
      </c>
      <c r="E30" s="3">
        <f t="shared" si="1"/>
        <v>0.29048843187660667</v>
      </c>
    </row>
    <row r="31" spans="1:9" x14ac:dyDescent="0.35">
      <c r="A31">
        <v>29</v>
      </c>
      <c r="B31" t="s">
        <v>32</v>
      </c>
      <c r="C31">
        <v>7.7000000000000002E-3</v>
      </c>
      <c r="D31">
        <f t="shared" si="0"/>
        <v>8.6E-3</v>
      </c>
      <c r="E31" s="3">
        <f t="shared" si="1"/>
        <v>0.22107969151670953</v>
      </c>
    </row>
    <row r="32" spans="1:9" x14ac:dyDescent="0.35">
      <c r="A32">
        <v>30</v>
      </c>
      <c r="B32" t="s">
        <v>33</v>
      </c>
      <c r="C32">
        <v>1.26E-2</v>
      </c>
      <c r="D32">
        <f t="shared" si="0"/>
        <v>1.35E-2</v>
      </c>
      <c r="E32" s="3">
        <f t="shared" si="1"/>
        <v>0.3470437017994859</v>
      </c>
    </row>
    <row r="33" spans="1:5" x14ac:dyDescent="0.35">
      <c r="A33">
        <v>31</v>
      </c>
      <c r="B33" t="s">
        <v>34</v>
      </c>
      <c r="C33">
        <v>4.3E-3</v>
      </c>
      <c r="D33">
        <f t="shared" si="0"/>
        <v>5.1999999999999998E-3</v>
      </c>
      <c r="E33" s="3">
        <f t="shared" si="1"/>
        <v>0.13367609254498716</v>
      </c>
    </row>
    <row r="34" spans="1:5" x14ac:dyDescent="0.35">
      <c r="A34">
        <v>32</v>
      </c>
      <c r="B34" t="s">
        <v>35</v>
      </c>
      <c r="C34">
        <v>1.23E-2</v>
      </c>
      <c r="D34">
        <f t="shared" si="0"/>
        <v>1.32E-2</v>
      </c>
      <c r="E34" s="3">
        <f t="shared" si="1"/>
        <v>0.33933161953727509</v>
      </c>
    </row>
    <row r="35" spans="1:5" x14ac:dyDescent="0.35">
      <c r="A35">
        <v>33</v>
      </c>
      <c r="B35" t="s">
        <v>36</v>
      </c>
      <c r="C35">
        <v>1.46E-2</v>
      </c>
      <c r="D35">
        <f t="shared" si="0"/>
        <v>1.55E-2</v>
      </c>
      <c r="E35" s="3">
        <f t="shared" si="1"/>
        <v>0.39845758354755789</v>
      </c>
    </row>
    <row r="36" spans="1:5" x14ac:dyDescent="0.35">
      <c r="A36">
        <v>34</v>
      </c>
      <c r="B36" t="s">
        <v>37</v>
      </c>
      <c r="C36">
        <v>1.38E-2</v>
      </c>
      <c r="D36">
        <f t="shared" si="0"/>
        <v>1.47E-2</v>
      </c>
      <c r="E36" s="3">
        <f t="shared" si="1"/>
        <v>0.37789203084832906</v>
      </c>
    </row>
    <row r="37" spans="1:5" x14ac:dyDescent="0.35">
      <c r="A37">
        <v>35</v>
      </c>
      <c r="B37" t="s">
        <v>38</v>
      </c>
      <c r="C37">
        <v>1.8100000000000002E-2</v>
      </c>
      <c r="D37">
        <f t="shared" si="0"/>
        <v>1.9000000000000003E-2</v>
      </c>
      <c r="E37" s="3">
        <f t="shared" si="1"/>
        <v>0.48843187660668391</v>
      </c>
    </row>
    <row r="38" spans="1:5" x14ac:dyDescent="0.35">
      <c r="A38">
        <v>36</v>
      </c>
      <c r="B38" t="s">
        <v>39</v>
      </c>
      <c r="C38">
        <v>1.5800000000000002E-2</v>
      </c>
      <c r="D38">
        <f t="shared" si="0"/>
        <v>1.6700000000000003E-2</v>
      </c>
      <c r="E38" s="3">
        <f t="shared" si="1"/>
        <v>0.42930591259640116</v>
      </c>
    </row>
    <row r="39" spans="1:5" x14ac:dyDescent="0.35">
      <c r="A39">
        <v>37</v>
      </c>
      <c r="B39" t="s">
        <v>40</v>
      </c>
      <c r="C39">
        <v>1.8700000000000001E-2</v>
      </c>
      <c r="D39">
        <f t="shared" si="0"/>
        <v>1.9600000000000003E-2</v>
      </c>
      <c r="E39" s="3">
        <f t="shared" si="1"/>
        <v>0.50385604113110549</v>
      </c>
    </row>
    <row r="40" spans="1:5" x14ac:dyDescent="0.35">
      <c r="A40">
        <v>38</v>
      </c>
      <c r="B40" t="s">
        <v>41</v>
      </c>
      <c r="C40">
        <v>9.7000000000000003E-3</v>
      </c>
      <c r="D40">
        <f t="shared" si="0"/>
        <v>1.06E-2</v>
      </c>
      <c r="E40" s="3">
        <f t="shared" si="1"/>
        <v>0.27249357326478152</v>
      </c>
    </row>
    <row r="41" spans="1:5" x14ac:dyDescent="0.35">
      <c r="A41">
        <v>39</v>
      </c>
      <c r="B41" t="s">
        <v>42</v>
      </c>
      <c r="C41">
        <v>1.29E-2</v>
      </c>
      <c r="D41">
        <f t="shared" si="0"/>
        <v>1.38E-2</v>
      </c>
      <c r="E41" s="3">
        <f t="shared" si="1"/>
        <v>0.35475578406169667</v>
      </c>
    </row>
    <row r="42" spans="1:5" x14ac:dyDescent="0.35">
      <c r="A42">
        <v>40</v>
      </c>
      <c r="B42" t="s">
        <v>43</v>
      </c>
      <c r="C42">
        <v>1.44E-2</v>
      </c>
      <c r="D42">
        <f t="shared" si="0"/>
        <v>1.5299999999999999E-2</v>
      </c>
      <c r="E42" s="3">
        <f t="shared" si="1"/>
        <v>0.39331619537275064</v>
      </c>
    </row>
    <row r="43" spans="1:5" x14ac:dyDescent="0.35">
      <c r="A43">
        <v>41</v>
      </c>
      <c r="B43" t="s">
        <v>44</v>
      </c>
      <c r="C43">
        <v>1.09E-2</v>
      </c>
      <c r="D43">
        <f>(C43+0.0018)</f>
        <v>1.2699999999999999E-2</v>
      </c>
      <c r="E43" s="4">
        <f>(D43/0.04038)</f>
        <v>0.31451213472015849</v>
      </c>
    </row>
    <row r="44" spans="1:5" x14ac:dyDescent="0.35">
      <c r="A44">
        <v>42</v>
      </c>
      <c r="B44" t="s">
        <v>45</v>
      </c>
      <c r="C44">
        <v>1.29E-2</v>
      </c>
      <c r="D44">
        <f t="shared" ref="D44:D52" si="3">(C44+0.0018)</f>
        <v>1.47E-2</v>
      </c>
      <c r="E44" s="4">
        <f t="shared" ref="E44:E52" si="4">(D44/0.04038)</f>
        <v>0.36404160475482911</v>
      </c>
    </row>
    <row r="45" spans="1:5" x14ac:dyDescent="0.35">
      <c r="A45">
        <v>43</v>
      </c>
      <c r="B45" t="s">
        <v>46</v>
      </c>
      <c r="C45">
        <v>2.2000000000000001E-3</v>
      </c>
      <c r="D45">
        <f t="shared" si="3"/>
        <v>4.0000000000000001E-3</v>
      </c>
      <c r="E45" s="4">
        <f t="shared" si="4"/>
        <v>9.9058940069341267E-2</v>
      </c>
    </row>
    <row r="46" spans="1:5" x14ac:dyDescent="0.35">
      <c r="A46">
        <v>44</v>
      </c>
      <c r="B46" t="s">
        <v>47</v>
      </c>
      <c r="C46">
        <v>1.46E-2</v>
      </c>
      <c r="D46">
        <f t="shared" si="3"/>
        <v>1.6400000000000001E-2</v>
      </c>
      <c r="E46" s="4">
        <f t="shared" si="4"/>
        <v>0.40614165428429921</v>
      </c>
    </row>
    <row r="47" spans="1:5" x14ac:dyDescent="0.35">
      <c r="A47">
        <v>45</v>
      </c>
      <c r="B47" t="s">
        <v>48</v>
      </c>
      <c r="C47">
        <v>1.8E-3</v>
      </c>
      <c r="D47">
        <f t="shared" si="3"/>
        <v>3.5999999999999999E-3</v>
      </c>
      <c r="E47" s="4">
        <f t="shared" si="4"/>
        <v>8.9153046062407135E-2</v>
      </c>
    </row>
    <row r="48" spans="1:5" x14ac:dyDescent="0.35">
      <c r="A48">
        <v>46</v>
      </c>
      <c r="B48" t="s">
        <v>49</v>
      </c>
      <c r="C48">
        <v>2.1000000000000001E-2</v>
      </c>
      <c r="D48">
        <f t="shared" si="3"/>
        <v>2.2800000000000001E-2</v>
      </c>
      <c r="E48" s="4">
        <f t="shared" si="4"/>
        <v>0.56463595839524516</v>
      </c>
    </row>
    <row r="49" spans="1:5" x14ac:dyDescent="0.35">
      <c r="A49">
        <v>47</v>
      </c>
      <c r="B49" t="s">
        <v>50</v>
      </c>
      <c r="C49">
        <v>1.9E-3</v>
      </c>
      <c r="D49">
        <f t="shared" si="3"/>
        <v>3.7000000000000002E-3</v>
      </c>
      <c r="E49" s="4">
        <f t="shared" si="4"/>
        <v>9.1629519564140671E-2</v>
      </c>
    </row>
    <row r="50" spans="1:5" x14ac:dyDescent="0.35">
      <c r="A50">
        <v>48</v>
      </c>
      <c r="B50" t="s">
        <v>51</v>
      </c>
      <c r="C50">
        <v>6.9999999999999999E-4</v>
      </c>
      <c r="D50">
        <f t="shared" si="3"/>
        <v>2.5000000000000001E-3</v>
      </c>
      <c r="E50" s="4">
        <f t="shared" si="4"/>
        <v>6.1911837543338288E-2</v>
      </c>
    </row>
    <row r="51" spans="1:5" x14ac:dyDescent="0.35">
      <c r="A51">
        <v>49</v>
      </c>
      <c r="B51" t="s">
        <v>52</v>
      </c>
      <c r="C51">
        <v>2.0000000000000001E-4</v>
      </c>
      <c r="D51">
        <f t="shared" si="3"/>
        <v>2E-3</v>
      </c>
      <c r="E51" s="4">
        <f t="shared" si="4"/>
        <v>4.9529470034670633E-2</v>
      </c>
    </row>
    <row r="52" spans="1:5" x14ac:dyDescent="0.35">
      <c r="A52">
        <v>50</v>
      </c>
      <c r="B52" t="s">
        <v>53</v>
      </c>
      <c r="C52">
        <v>2.9999999999999997E-4</v>
      </c>
      <c r="D52">
        <f t="shared" si="3"/>
        <v>2.0999999999999999E-3</v>
      </c>
      <c r="E52" s="4">
        <f t="shared" si="4"/>
        <v>5.2005943536404156E-2</v>
      </c>
    </row>
    <row r="53" spans="1:5" x14ac:dyDescent="0.35">
      <c r="E53" s="4"/>
    </row>
    <row r="54" spans="1:5" x14ac:dyDescent="0.35">
      <c r="E54" s="4"/>
    </row>
    <row r="55" spans="1:5" x14ac:dyDescent="0.35">
      <c r="E55" s="4"/>
    </row>
    <row r="56" spans="1:5" x14ac:dyDescent="0.35">
      <c r="E56" s="4"/>
    </row>
    <row r="57" spans="1:5" x14ac:dyDescent="0.35">
      <c r="E57" s="4"/>
    </row>
    <row r="58" spans="1:5" x14ac:dyDescent="0.35">
      <c r="E58" s="4"/>
    </row>
    <row r="59" spans="1:5" x14ac:dyDescent="0.35">
      <c r="E59" s="4"/>
    </row>
    <row r="60" spans="1:5" x14ac:dyDescent="0.35">
      <c r="E60" s="4"/>
    </row>
    <row r="61" spans="1:5" x14ac:dyDescent="0.35">
      <c r="E61" s="4"/>
    </row>
    <row r="62" spans="1:5" x14ac:dyDescent="0.35">
      <c r="E62" s="4"/>
    </row>
    <row r="63" spans="1:5" x14ac:dyDescent="0.35">
      <c r="E63" s="4"/>
    </row>
    <row r="64" spans="1:5" x14ac:dyDescent="0.35">
      <c r="E64" s="4"/>
    </row>
    <row r="65" spans="5:5" x14ac:dyDescent="0.35">
      <c r="E65" s="4"/>
    </row>
    <row r="66" spans="5:5" x14ac:dyDescent="0.35">
      <c r="E66" s="4"/>
    </row>
    <row r="67" spans="5:5" x14ac:dyDescent="0.35">
      <c r="E67" s="4"/>
    </row>
    <row r="68" spans="5:5" x14ac:dyDescent="0.35">
      <c r="E68" s="4"/>
    </row>
    <row r="69" spans="5:5" x14ac:dyDescent="0.35">
      <c r="E69" s="4"/>
    </row>
    <row r="70" spans="5:5" x14ac:dyDescent="0.35">
      <c r="E70" s="4"/>
    </row>
    <row r="71" spans="5:5" x14ac:dyDescent="0.35">
      <c r="E71" s="4"/>
    </row>
    <row r="72" spans="5:5" x14ac:dyDescent="0.35">
      <c r="E72" s="4"/>
    </row>
    <row r="73" spans="5:5" x14ac:dyDescent="0.35">
      <c r="E73" s="4"/>
    </row>
    <row r="74" spans="5:5" x14ac:dyDescent="0.35">
      <c r="E74" s="4"/>
    </row>
    <row r="75" spans="5:5" x14ac:dyDescent="0.35">
      <c r="E75" s="4"/>
    </row>
    <row r="76" spans="5:5" x14ac:dyDescent="0.35">
      <c r="E76" s="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"/>
  <sheetViews>
    <sheetView topLeftCell="A27" workbookViewId="0">
      <selection activeCell="C48" sqref="C48"/>
    </sheetView>
  </sheetViews>
  <sheetFormatPr defaultRowHeight="14.5" x14ac:dyDescent="0.35"/>
  <sheetData>
    <row r="1" spans="1:10" x14ac:dyDescent="0.35">
      <c r="B1" t="s">
        <v>0</v>
      </c>
      <c r="C1" t="s">
        <v>68</v>
      </c>
    </row>
    <row r="2" spans="1:10" x14ac:dyDescent="0.35">
      <c r="B2" t="s">
        <v>2</v>
      </c>
      <c r="C2" t="s">
        <v>3</v>
      </c>
      <c r="D2" t="s">
        <v>69</v>
      </c>
      <c r="E2" t="s">
        <v>60</v>
      </c>
      <c r="H2">
        <v>0</v>
      </c>
      <c r="I2">
        <v>-6.9999999999999999E-4</v>
      </c>
      <c r="J2">
        <f t="shared" ref="J2:J7" si="0">(I2+0.0007)</f>
        <v>0</v>
      </c>
    </row>
    <row r="3" spans="1:10" x14ac:dyDescent="0.35">
      <c r="A3">
        <v>1</v>
      </c>
      <c r="B3" t="s">
        <v>4</v>
      </c>
      <c r="C3">
        <v>1.49E-2</v>
      </c>
      <c r="D3">
        <f>(C3+0.0007)</f>
        <v>1.5599999999999999E-2</v>
      </c>
      <c r="E3">
        <f>(D3/0.03825)</f>
        <v>0.40784313725490196</v>
      </c>
      <c r="H3">
        <v>0.25</v>
      </c>
      <c r="I3">
        <v>1.09E-2</v>
      </c>
      <c r="J3">
        <f t="shared" si="0"/>
        <v>1.1599999999999999E-2</v>
      </c>
    </row>
    <row r="4" spans="1:10" x14ac:dyDescent="0.35">
      <c r="A4">
        <v>2</v>
      </c>
      <c r="B4" t="s">
        <v>5</v>
      </c>
      <c r="C4">
        <v>1.3299999999999999E-2</v>
      </c>
      <c r="D4">
        <f t="shared" ref="D4:D42" si="1">(C4+0.0007)</f>
        <v>1.3999999999999999E-2</v>
      </c>
      <c r="E4">
        <f t="shared" ref="E4:E42" si="2">(D4/0.03825)</f>
        <v>0.36601307189542481</v>
      </c>
      <c r="H4">
        <v>0.5</v>
      </c>
      <c r="I4">
        <v>2.29E-2</v>
      </c>
      <c r="J4">
        <f t="shared" si="0"/>
        <v>2.3599999999999999E-2</v>
      </c>
    </row>
    <row r="5" spans="1:10" x14ac:dyDescent="0.35">
      <c r="A5">
        <v>3</v>
      </c>
      <c r="B5" t="s">
        <v>6</v>
      </c>
      <c r="C5">
        <v>1.09E-2</v>
      </c>
      <c r="D5">
        <f t="shared" si="1"/>
        <v>1.1599999999999999E-2</v>
      </c>
      <c r="E5">
        <f t="shared" si="2"/>
        <v>0.30326797385620913</v>
      </c>
      <c r="H5">
        <v>1</v>
      </c>
      <c r="I5">
        <v>4.0500000000000001E-2</v>
      </c>
      <c r="J5">
        <f t="shared" si="0"/>
        <v>4.1200000000000001E-2</v>
      </c>
    </row>
    <row r="6" spans="1:10" x14ac:dyDescent="0.35">
      <c r="A6">
        <v>4</v>
      </c>
      <c r="B6" t="s">
        <v>7</v>
      </c>
      <c r="C6">
        <v>8.5000000000000006E-3</v>
      </c>
      <c r="D6">
        <f t="shared" si="1"/>
        <v>9.1999999999999998E-3</v>
      </c>
      <c r="E6">
        <f t="shared" si="2"/>
        <v>0.24052287581699347</v>
      </c>
      <c r="H6">
        <v>2</v>
      </c>
      <c r="I6">
        <v>8.1199999999999994E-2</v>
      </c>
      <c r="J6">
        <f t="shared" si="0"/>
        <v>8.1900000000000001E-2</v>
      </c>
    </row>
    <row r="7" spans="1:10" x14ac:dyDescent="0.35">
      <c r="A7">
        <v>5</v>
      </c>
      <c r="B7" t="s">
        <v>8</v>
      </c>
      <c r="C7">
        <v>1.6199999999999999E-2</v>
      </c>
      <c r="D7">
        <f t="shared" si="1"/>
        <v>1.6899999999999998E-2</v>
      </c>
      <c r="E7">
        <f t="shared" si="2"/>
        <v>0.44183006535947711</v>
      </c>
      <c r="H7">
        <v>4</v>
      </c>
      <c r="I7">
        <v>0.15329999999999999</v>
      </c>
      <c r="J7">
        <f t="shared" si="0"/>
        <v>0.154</v>
      </c>
    </row>
    <row r="8" spans="1:10" x14ac:dyDescent="0.35">
      <c r="A8">
        <v>6</v>
      </c>
      <c r="B8" t="s">
        <v>9</v>
      </c>
      <c r="C8">
        <v>1.0200000000000001E-2</v>
      </c>
      <c r="D8">
        <f t="shared" si="1"/>
        <v>1.09E-2</v>
      </c>
      <c r="E8">
        <f t="shared" si="2"/>
        <v>0.2849673202614379</v>
      </c>
    </row>
    <row r="9" spans="1:10" x14ac:dyDescent="0.35">
      <c r="A9">
        <v>7</v>
      </c>
      <c r="B9" t="s">
        <v>10</v>
      </c>
      <c r="C9">
        <v>1.12E-2</v>
      </c>
      <c r="D9">
        <f t="shared" si="1"/>
        <v>1.1899999999999999E-2</v>
      </c>
      <c r="E9">
        <f t="shared" si="2"/>
        <v>0.31111111111111112</v>
      </c>
    </row>
    <row r="10" spans="1:10" x14ac:dyDescent="0.35">
      <c r="A10">
        <v>8</v>
      </c>
      <c r="B10" t="s">
        <v>11</v>
      </c>
      <c r="C10">
        <v>1.37E-2</v>
      </c>
      <c r="D10">
        <f t="shared" si="1"/>
        <v>1.44E-2</v>
      </c>
      <c r="E10">
        <f t="shared" si="2"/>
        <v>0.37647058823529411</v>
      </c>
    </row>
    <row r="11" spans="1:10" x14ac:dyDescent="0.35">
      <c r="A11">
        <v>9</v>
      </c>
      <c r="B11" t="s">
        <v>12</v>
      </c>
      <c r="C11">
        <v>1.4200000000000001E-2</v>
      </c>
      <c r="D11">
        <f t="shared" si="1"/>
        <v>1.49E-2</v>
      </c>
      <c r="E11">
        <f t="shared" si="2"/>
        <v>0.38954248366013072</v>
      </c>
    </row>
    <row r="12" spans="1:10" x14ac:dyDescent="0.35">
      <c r="A12">
        <v>10</v>
      </c>
      <c r="B12" t="s">
        <v>13</v>
      </c>
      <c r="C12">
        <v>1.2699999999999999E-2</v>
      </c>
      <c r="D12">
        <f t="shared" si="1"/>
        <v>1.3399999999999999E-2</v>
      </c>
      <c r="E12">
        <f t="shared" si="2"/>
        <v>0.35032679738562089</v>
      </c>
    </row>
    <row r="13" spans="1:10" x14ac:dyDescent="0.35">
      <c r="A13">
        <v>11</v>
      </c>
      <c r="B13" t="s">
        <v>14</v>
      </c>
      <c r="C13">
        <v>1.5100000000000001E-2</v>
      </c>
      <c r="D13">
        <f t="shared" si="1"/>
        <v>1.5800000000000002E-2</v>
      </c>
      <c r="E13">
        <f t="shared" si="2"/>
        <v>0.41307189542483663</v>
      </c>
    </row>
    <row r="14" spans="1:10" x14ac:dyDescent="0.35">
      <c r="A14">
        <v>12</v>
      </c>
      <c r="B14" t="s">
        <v>15</v>
      </c>
      <c r="C14">
        <v>1.2699999999999999E-2</v>
      </c>
      <c r="D14">
        <f t="shared" si="1"/>
        <v>1.3399999999999999E-2</v>
      </c>
      <c r="E14">
        <f t="shared" si="2"/>
        <v>0.35032679738562089</v>
      </c>
    </row>
    <row r="15" spans="1:10" x14ac:dyDescent="0.35">
      <c r="A15">
        <v>13</v>
      </c>
      <c r="B15" t="s">
        <v>16</v>
      </c>
      <c r="C15">
        <v>8.5000000000000006E-3</v>
      </c>
      <c r="D15">
        <f t="shared" si="1"/>
        <v>9.1999999999999998E-3</v>
      </c>
      <c r="E15">
        <f t="shared" si="2"/>
        <v>0.24052287581699347</v>
      </c>
    </row>
    <row r="16" spans="1:10" x14ac:dyDescent="0.35">
      <c r="A16">
        <v>14</v>
      </c>
      <c r="B16" t="s">
        <v>17</v>
      </c>
      <c r="C16">
        <v>9.2999999999999992E-3</v>
      </c>
      <c r="D16">
        <f t="shared" si="1"/>
        <v>9.9999999999999985E-3</v>
      </c>
      <c r="E16">
        <f t="shared" si="2"/>
        <v>0.26143790849673199</v>
      </c>
    </row>
    <row r="17" spans="1:10" x14ac:dyDescent="0.35">
      <c r="A17">
        <v>15</v>
      </c>
      <c r="B17" t="s">
        <v>18</v>
      </c>
      <c r="C17">
        <v>1.14E-2</v>
      </c>
      <c r="D17">
        <f t="shared" si="1"/>
        <v>1.21E-2</v>
      </c>
      <c r="E17">
        <f t="shared" si="2"/>
        <v>0.31633986928104574</v>
      </c>
      <c r="H17">
        <v>0</v>
      </c>
      <c r="I17">
        <v>-8.9999999999999998E-4</v>
      </c>
      <c r="J17">
        <f t="shared" ref="J17:J22" si="3">(I17+0.0009)</f>
        <v>0</v>
      </c>
    </row>
    <row r="18" spans="1:10" x14ac:dyDescent="0.35">
      <c r="A18">
        <v>16</v>
      </c>
      <c r="B18" t="s">
        <v>19</v>
      </c>
      <c r="C18">
        <v>1.17E-2</v>
      </c>
      <c r="D18">
        <f t="shared" si="1"/>
        <v>1.24E-2</v>
      </c>
      <c r="E18">
        <f t="shared" si="2"/>
        <v>0.32418300653594773</v>
      </c>
      <c r="H18">
        <v>0.25</v>
      </c>
      <c r="I18">
        <v>1.01E-2</v>
      </c>
      <c r="J18">
        <f t="shared" si="3"/>
        <v>1.0999999999999999E-2</v>
      </c>
    </row>
    <row r="19" spans="1:10" x14ac:dyDescent="0.35">
      <c r="A19">
        <v>17</v>
      </c>
      <c r="B19" t="s">
        <v>20</v>
      </c>
      <c r="C19">
        <v>1.2E-2</v>
      </c>
      <c r="D19">
        <f t="shared" si="1"/>
        <v>1.2699999999999999E-2</v>
      </c>
      <c r="E19">
        <f t="shared" si="2"/>
        <v>0.33202614379084966</v>
      </c>
      <c r="H19">
        <v>0.5</v>
      </c>
      <c r="I19">
        <v>2.1700000000000001E-2</v>
      </c>
      <c r="J19">
        <f t="shared" si="3"/>
        <v>2.2600000000000002E-2</v>
      </c>
    </row>
    <row r="20" spans="1:10" x14ac:dyDescent="0.35">
      <c r="A20">
        <v>18</v>
      </c>
      <c r="B20" t="s">
        <v>21</v>
      </c>
      <c r="C20">
        <v>1.06E-2</v>
      </c>
      <c r="D20">
        <f t="shared" si="1"/>
        <v>1.1299999999999999E-2</v>
      </c>
      <c r="E20">
        <f t="shared" si="2"/>
        <v>0.29542483660130719</v>
      </c>
      <c r="H20">
        <v>1</v>
      </c>
      <c r="I20">
        <v>4.0099999999999997E-2</v>
      </c>
      <c r="J20">
        <f t="shared" si="3"/>
        <v>4.0999999999999995E-2</v>
      </c>
    </row>
    <row r="21" spans="1:10" x14ac:dyDescent="0.35">
      <c r="A21">
        <v>19</v>
      </c>
      <c r="B21" t="s">
        <v>22</v>
      </c>
      <c r="C21">
        <v>1.0200000000000001E-2</v>
      </c>
      <c r="D21">
        <f t="shared" si="1"/>
        <v>1.09E-2</v>
      </c>
      <c r="E21">
        <f t="shared" si="2"/>
        <v>0.2849673202614379</v>
      </c>
      <c r="H21">
        <v>2</v>
      </c>
      <c r="I21">
        <v>8.14E-2</v>
      </c>
      <c r="J21">
        <f t="shared" si="3"/>
        <v>8.2299999999999998E-2</v>
      </c>
    </row>
    <row r="22" spans="1:10" x14ac:dyDescent="0.35">
      <c r="A22">
        <v>20</v>
      </c>
      <c r="B22" t="s">
        <v>23</v>
      </c>
      <c r="C22">
        <v>1.2800000000000001E-2</v>
      </c>
      <c r="D22">
        <f t="shared" si="1"/>
        <v>1.35E-2</v>
      </c>
      <c r="E22">
        <f t="shared" si="2"/>
        <v>0.35294117647058826</v>
      </c>
      <c r="H22">
        <v>4</v>
      </c>
      <c r="I22">
        <v>0.15340000000000001</v>
      </c>
      <c r="J22">
        <f t="shared" si="3"/>
        <v>0.15430000000000002</v>
      </c>
    </row>
    <row r="23" spans="1:10" x14ac:dyDescent="0.35">
      <c r="A23">
        <v>21</v>
      </c>
      <c r="B23" t="s">
        <v>24</v>
      </c>
      <c r="C23">
        <v>1.4999999999999999E-2</v>
      </c>
      <c r="D23">
        <f t="shared" si="1"/>
        <v>1.5699999999999999E-2</v>
      </c>
      <c r="E23">
        <f t="shared" si="2"/>
        <v>0.41045751633986927</v>
      </c>
    </row>
    <row r="24" spans="1:10" x14ac:dyDescent="0.35">
      <c r="A24">
        <v>22</v>
      </c>
      <c r="B24" t="s">
        <v>25</v>
      </c>
      <c r="C24">
        <v>1.11E-2</v>
      </c>
      <c r="D24">
        <f t="shared" si="1"/>
        <v>1.18E-2</v>
      </c>
      <c r="E24">
        <f t="shared" si="2"/>
        <v>0.30849673202614381</v>
      </c>
    </row>
    <row r="25" spans="1:10" x14ac:dyDescent="0.35">
      <c r="A25">
        <v>23</v>
      </c>
      <c r="B25" t="s">
        <v>26</v>
      </c>
      <c r="C25">
        <v>1.44E-2</v>
      </c>
      <c r="D25">
        <f t="shared" si="1"/>
        <v>1.5099999999999999E-2</v>
      </c>
      <c r="E25">
        <f t="shared" si="2"/>
        <v>0.39477124183006534</v>
      </c>
    </row>
    <row r="26" spans="1:10" x14ac:dyDescent="0.35">
      <c r="A26">
        <v>24</v>
      </c>
      <c r="B26" t="s">
        <v>27</v>
      </c>
      <c r="C26">
        <v>1.35E-2</v>
      </c>
      <c r="D26">
        <f t="shared" si="1"/>
        <v>1.4199999999999999E-2</v>
      </c>
      <c r="E26">
        <f t="shared" si="2"/>
        <v>0.37124183006535943</v>
      </c>
    </row>
    <row r="27" spans="1:10" x14ac:dyDescent="0.35">
      <c r="A27">
        <v>25</v>
      </c>
      <c r="B27" t="s">
        <v>28</v>
      </c>
      <c r="C27">
        <v>1.23E-2</v>
      </c>
      <c r="D27">
        <f t="shared" si="1"/>
        <v>1.2999999999999999E-2</v>
      </c>
      <c r="E27">
        <f t="shared" si="2"/>
        <v>0.33986928104575165</v>
      </c>
    </row>
    <row r="28" spans="1:10" x14ac:dyDescent="0.35">
      <c r="A28">
        <v>26</v>
      </c>
      <c r="B28" t="s">
        <v>29</v>
      </c>
      <c r="C28">
        <v>1.03E-2</v>
      </c>
      <c r="D28">
        <f t="shared" si="1"/>
        <v>1.0999999999999999E-2</v>
      </c>
      <c r="E28">
        <f t="shared" si="2"/>
        <v>0.28758169934640521</v>
      </c>
    </row>
    <row r="29" spans="1:10" x14ac:dyDescent="0.35">
      <c r="A29">
        <v>27</v>
      </c>
      <c r="B29" t="s">
        <v>30</v>
      </c>
      <c r="C29">
        <v>8.8999999999999999E-3</v>
      </c>
      <c r="D29">
        <f t="shared" si="1"/>
        <v>9.5999999999999992E-3</v>
      </c>
      <c r="E29">
        <f t="shared" si="2"/>
        <v>0.25098039215686274</v>
      </c>
    </row>
    <row r="30" spans="1:10" x14ac:dyDescent="0.35">
      <c r="A30">
        <v>28</v>
      </c>
      <c r="B30" t="s">
        <v>31</v>
      </c>
      <c r="C30">
        <v>9.7999999999999997E-3</v>
      </c>
      <c r="D30">
        <f t="shared" si="1"/>
        <v>1.0499999999999999E-2</v>
      </c>
      <c r="E30">
        <f t="shared" si="2"/>
        <v>0.2745098039215686</v>
      </c>
    </row>
    <row r="31" spans="1:10" x14ac:dyDescent="0.35">
      <c r="A31">
        <v>29</v>
      </c>
      <c r="B31" t="s">
        <v>32</v>
      </c>
      <c r="C31">
        <v>1.29E-2</v>
      </c>
      <c r="D31">
        <f t="shared" si="1"/>
        <v>1.3599999999999999E-2</v>
      </c>
      <c r="E31">
        <f t="shared" si="2"/>
        <v>0.35555555555555557</v>
      </c>
    </row>
    <row r="32" spans="1:10" x14ac:dyDescent="0.35">
      <c r="A32">
        <v>30</v>
      </c>
      <c r="B32" t="s">
        <v>33</v>
      </c>
      <c r="C32">
        <v>1.43E-2</v>
      </c>
      <c r="D32">
        <f t="shared" si="1"/>
        <v>1.4999999999999999E-2</v>
      </c>
      <c r="E32">
        <f t="shared" si="2"/>
        <v>0.39215686274509803</v>
      </c>
    </row>
    <row r="33" spans="1:5" x14ac:dyDescent="0.35">
      <c r="A33">
        <v>31</v>
      </c>
      <c r="B33" t="s">
        <v>34</v>
      </c>
      <c r="C33">
        <v>6.1000000000000004E-3</v>
      </c>
      <c r="D33">
        <f t="shared" si="1"/>
        <v>6.8000000000000005E-3</v>
      </c>
      <c r="E33">
        <f t="shared" si="2"/>
        <v>0.17777777777777778</v>
      </c>
    </row>
    <row r="34" spans="1:5" x14ac:dyDescent="0.35">
      <c r="A34">
        <v>32</v>
      </c>
      <c r="B34" t="s">
        <v>35</v>
      </c>
      <c r="C34">
        <v>1.0500000000000001E-2</v>
      </c>
      <c r="D34">
        <f t="shared" si="1"/>
        <v>1.12E-2</v>
      </c>
      <c r="E34">
        <f t="shared" si="2"/>
        <v>0.29281045751633988</v>
      </c>
    </row>
    <row r="35" spans="1:5" x14ac:dyDescent="0.35">
      <c r="A35">
        <v>33</v>
      </c>
      <c r="B35" t="s">
        <v>36</v>
      </c>
      <c r="C35">
        <v>6.8999999999999999E-3</v>
      </c>
      <c r="D35">
        <f t="shared" si="1"/>
        <v>7.6E-3</v>
      </c>
      <c r="E35">
        <f t="shared" si="2"/>
        <v>0.19869281045751636</v>
      </c>
    </row>
    <row r="36" spans="1:5" x14ac:dyDescent="0.35">
      <c r="A36">
        <v>34</v>
      </c>
      <c r="B36" t="s">
        <v>37</v>
      </c>
      <c r="C36">
        <v>9.7999999999999997E-3</v>
      </c>
      <c r="D36">
        <f t="shared" si="1"/>
        <v>1.0499999999999999E-2</v>
      </c>
      <c r="E36">
        <f t="shared" si="2"/>
        <v>0.2745098039215686</v>
      </c>
    </row>
    <row r="37" spans="1:5" x14ac:dyDescent="0.35">
      <c r="A37">
        <v>35</v>
      </c>
      <c r="B37" t="s">
        <v>38</v>
      </c>
      <c r="C37">
        <v>1.38E-2</v>
      </c>
      <c r="D37">
        <f t="shared" si="1"/>
        <v>1.4499999999999999E-2</v>
      </c>
      <c r="E37">
        <f t="shared" si="2"/>
        <v>0.37908496732026142</v>
      </c>
    </row>
    <row r="38" spans="1:5" x14ac:dyDescent="0.35">
      <c r="A38">
        <v>36</v>
      </c>
      <c r="B38" t="s">
        <v>39</v>
      </c>
      <c r="C38">
        <v>1.61E-2</v>
      </c>
      <c r="D38">
        <f t="shared" si="1"/>
        <v>1.6799999999999999E-2</v>
      </c>
      <c r="E38">
        <f t="shared" si="2"/>
        <v>0.4392156862745098</v>
      </c>
    </row>
    <row r="39" spans="1:5" x14ac:dyDescent="0.35">
      <c r="A39">
        <v>37</v>
      </c>
      <c r="B39" t="s">
        <v>40</v>
      </c>
      <c r="C39">
        <v>1.52E-2</v>
      </c>
      <c r="D39">
        <f t="shared" si="1"/>
        <v>1.5900000000000001E-2</v>
      </c>
      <c r="E39">
        <f t="shared" si="2"/>
        <v>0.41568627450980394</v>
      </c>
    </row>
    <row r="40" spans="1:5" x14ac:dyDescent="0.35">
      <c r="A40">
        <v>38</v>
      </c>
      <c r="B40" t="s">
        <v>41</v>
      </c>
      <c r="C40">
        <v>0.01</v>
      </c>
      <c r="D40">
        <f t="shared" si="1"/>
        <v>1.0699999999999999E-2</v>
      </c>
      <c r="E40">
        <f t="shared" si="2"/>
        <v>0.27973856209150327</v>
      </c>
    </row>
    <row r="41" spans="1:5" x14ac:dyDescent="0.35">
      <c r="A41">
        <v>39</v>
      </c>
      <c r="B41" t="s">
        <v>42</v>
      </c>
      <c r="C41">
        <v>1.03E-2</v>
      </c>
      <c r="D41">
        <f t="shared" si="1"/>
        <v>1.0999999999999999E-2</v>
      </c>
      <c r="E41">
        <f t="shared" si="2"/>
        <v>0.28758169934640521</v>
      </c>
    </row>
    <row r="42" spans="1:5" x14ac:dyDescent="0.35">
      <c r="A42">
        <v>40</v>
      </c>
      <c r="B42" t="s">
        <v>43</v>
      </c>
      <c r="C42">
        <v>1.3299999999999999E-2</v>
      </c>
      <c r="D42">
        <f t="shared" si="1"/>
        <v>1.3999999999999999E-2</v>
      </c>
      <c r="E42">
        <f t="shared" si="2"/>
        <v>0.36601307189542481</v>
      </c>
    </row>
    <row r="43" spans="1:5" x14ac:dyDescent="0.35">
      <c r="A43">
        <v>41</v>
      </c>
      <c r="B43" t="s">
        <v>44</v>
      </c>
      <c r="C43">
        <v>8.6E-3</v>
      </c>
      <c r="D43">
        <f>(C43+0.0009)</f>
        <v>9.4999999999999998E-3</v>
      </c>
      <c r="E43" s="4">
        <f>(D43/0.03848)</f>
        <v>0.24688149688149688</v>
      </c>
    </row>
    <row r="44" spans="1:5" x14ac:dyDescent="0.35">
      <c r="A44">
        <v>42</v>
      </c>
      <c r="B44" t="s">
        <v>45</v>
      </c>
      <c r="C44">
        <v>1.1299999999999999E-2</v>
      </c>
      <c r="D44">
        <f t="shared" ref="D44:D52" si="4">(C44+0.0009)</f>
        <v>1.2199999999999999E-2</v>
      </c>
      <c r="E44" s="4">
        <f t="shared" ref="E44:E52" si="5">(D44/0.03848)</f>
        <v>0.31704781704781704</v>
      </c>
    </row>
    <row r="45" spans="1:5" x14ac:dyDescent="0.35">
      <c r="A45">
        <v>43</v>
      </c>
      <c r="B45" t="s">
        <v>46</v>
      </c>
      <c r="C45">
        <v>1.6999999999999999E-3</v>
      </c>
      <c r="D45">
        <f t="shared" si="4"/>
        <v>2.5999999999999999E-3</v>
      </c>
      <c r="E45" s="4">
        <f t="shared" si="5"/>
        <v>6.7567567567567557E-2</v>
      </c>
    </row>
    <row r="46" spans="1:5" x14ac:dyDescent="0.35">
      <c r="A46">
        <v>44</v>
      </c>
      <c r="B46" t="s">
        <v>47</v>
      </c>
      <c r="C46">
        <v>1.4500000000000001E-2</v>
      </c>
      <c r="D46">
        <f t="shared" si="4"/>
        <v>1.54E-2</v>
      </c>
      <c r="E46" s="4">
        <f t="shared" si="5"/>
        <v>0.4002079002079002</v>
      </c>
    </row>
    <row r="47" spans="1:5" x14ac:dyDescent="0.35">
      <c r="A47">
        <v>45</v>
      </c>
      <c r="B47" t="s">
        <v>48</v>
      </c>
      <c r="C47">
        <v>1E-3</v>
      </c>
      <c r="D47">
        <f t="shared" si="4"/>
        <v>1.9E-3</v>
      </c>
      <c r="E47" s="4">
        <f t="shared" si="5"/>
        <v>4.9376299376299379E-2</v>
      </c>
    </row>
    <row r="48" spans="1:5" x14ac:dyDescent="0.35">
      <c r="A48">
        <v>46</v>
      </c>
      <c r="B48" t="s">
        <v>49</v>
      </c>
      <c r="C48">
        <v>1.34E-2</v>
      </c>
      <c r="D48">
        <f t="shared" si="4"/>
        <v>1.43E-2</v>
      </c>
      <c r="E48" s="4">
        <f t="shared" si="5"/>
        <v>0.3716216216216216</v>
      </c>
    </row>
    <row r="49" spans="1:5" x14ac:dyDescent="0.35">
      <c r="A49">
        <v>47</v>
      </c>
      <c r="B49" t="s">
        <v>50</v>
      </c>
      <c r="C49">
        <v>8.9999999999999998E-4</v>
      </c>
      <c r="D49">
        <f t="shared" si="4"/>
        <v>1.8E-3</v>
      </c>
      <c r="E49" s="4">
        <f t="shared" si="5"/>
        <v>4.6777546777546773E-2</v>
      </c>
    </row>
    <row r="50" spans="1:5" x14ac:dyDescent="0.35">
      <c r="A50">
        <v>48</v>
      </c>
      <c r="B50" t="s">
        <v>51</v>
      </c>
      <c r="C50">
        <v>0</v>
      </c>
      <c r="D50">
        <f t="shared" si="4"/>
        <v>8.9999999999999998E-4</v>
      </c>
      <c r="E50" s="4">
        <f t="shared" si="5"/>
        <v>2.3388773388773387E-2</v>
      </c>
    </row>
    <row r="51" spans="1:5" x14ac:dyDescent="0.35">
      <c r="A51">
        <v>49</v>
      </c>
      <c r="B51" t="s">
        <v>52</v>
      </c>
      <c r="C51">
        <v>-2.0000000000000001E-4</v>
      </c>
      <c r="D51">
        <f t="shared" si="4"/>
        <v>6.9999999999999999E-4</v>
      </c>
      <c r="E51" s="4">
        <f t="shared" si="5"/>
        <v>1.8191268191268192E-2</v>
      </c>
    </row>
    <row r="52" spans="1:5" x14ac:dyDescent="0.35">
      <c r="A52">
        <v>50</v>
      </c>
      <c r="B52" t="s">
        <v>53</v>
      </c>
      <c r="C52">
        <v>-2.9999999999999997E-4</v>
      </c>
      <c r="D52">
        <f t="shared" si="4"/>
        <v>6.0000000000000006E-4</v>
      </c>
      <c r="E52" s="4">
        <f t="shared" si="5"/>
        <v>1.5592515592515593E-2</v>
      </c>
    </row>
    <row r="53" spans="1:5" x14ac:dyDescent="0.35">
      <c r="E53" s="4"/>
    </row>
    <row r="54" spans="1:5" x14ac:dyDescent="0.35">
      <c r="E54" s="4"/>
    </row>
    <row r="55" spans="1:5" x14ac:dyDescent="0.35">
      <c r="E55" s="4"/>
    </row>
    <row r="56" spans="1:5" x14ac:dyDescent="0.35">
      <c r="E56" s="4"/>
    </row>
    <row r="57" spans="1:5" x14ac:dyDescent="0.35">
      <c r="E57" s="4"/>
    </row>
    <row r="58" spans="1:5" x14ac:dyDescent="0.35">
      <c r="E58" s="4"/>
    </row>
    <row r="59" spans="1:5" x14ac:dyDescent="0.35">
      <c r="E59" s="4"/>
    </row>
    <row r="60" spans="1:5" x14ac:dyDescent="0.35">
      <c r="E60" s="4"/>
    </row>
    <row r="61" spans="1:5" x14ac:dyDescent="0.35">
      <c r="E61" s="4"/>
    </row>
    <row r="62" spans="1:5" x14ac:dyDescent="0.35">
      <c r="E62" s="4"/>
    </row>
    <row r="63" spans="1:5" x14ac:dyDescent="0.35">
      <c r="E63" s="4"/>
    </row>
    <row r="64" spans="1:5" x14ac:dyDescent="0.35">
      <c r="E64" s="4"/>
    </row>
    <row r="65" spans="5:5" x14ac:dyDescent="0.35">
      <c r="E65" s="4"/>
    </row>
    <row r="66" spans="5:5" x14ac:dyDescent="0.35">
      <c r="E66" s="4"/>
    </row>
    <row r="67" spans="5:5" x14ac:dyDescent="0.35">
      <c r="E67" s="4"/>
    </row>
    <row r="68" spans="5:5" x14ac:dyDescent="0.35">
      <c r="E68" s="4"/>
    </row>
    <row r="69" spans="5:5" x14ac:dyDescent="0.35">
      <c r="E69" s="4"/>
    </row>
    <row r="70" spans="5:5" x14ac:dyDescent="0.35">
      <c r="E70" s="4"/>
    </row>
    <row r="71" spans="5:5" x14ac:dyDescent="0.35">
      <c r="E71" s="4"/>
    </row>
    <row r="72" spans="5:5" x14ac:dyDescent="0.35">
      <c r="E72" s="4"/>
    </row>
    <row r="73" spans="5:5" x14ac:dyDescent="0.35">
      <c r="E73" s="4"/>
    </row>
    <row r="74" spans="5:5" x14ac:dyDescent="0.35">
      <c r="E74" s="4"/>
    </row>
    <row r="75" spans="5:5" x14ac:dyDescent="0.35">
      <c r="E75" s="4"/>
    </row>
    <row r="76" spans="5:5" x14ac:dyDescent="0.35">
      <c r="E76" s="4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opLeftCell="A26" workbookViewId="0">
      <selection activeCell="E48" sqref="E48"/>
    </sheetView>
  </sheetViews>
  <sheetFormatPr defaultRowHeight="14.5" x14ac:dyDescent="0.35"/>
  <sheetData>
    <row r="1" spans="1:8" x14ac:dyDescent="0.35">
      <c r="B1" t="s">
        <v>0</v>
      </c>
      <c r="C1" t="s">
        <v>70</v>
      </c>
    </row>
    <row r="2" spans="1:8" x14ac:dyDescent="0.35">
      <c r="B2" t="s">
        <v>2</v>
      </c>
      <c r="C2" t="s">
        <v>3</v>
      </c>
      <c r="E2" t="s">
        <v>60</v>
      </c>
    </row>
    <row r="3" spans="1:8" x14ac:dyDescent="0.35">
      <c r="A3">
        <v>1</v>
      </c>
      <c r="B3" t="s">
        <v>4</v>
      </c>
      <c r="C3">
        <v>3.8800000000000001E-2</v>
      </c>
      <c r="D3">
        <f>(C3+0.0001)</f>
        <v>3.8900000000000004E-2</v>
      </c>
      <c r="E3">
        <f>(D3/0.04812)</f>
        <v>0.80839567747298424</v>
      </c>
    </row>
    <row r="4" spans="1:8" x14ac:dyDescent="0.35">
      <c r="A4">
        <v>2</v>
      </c>
      <c r="B4" t="s">
        <v>5</v>
      </c>
      <c r="C4">
        <v>3.32E-2</v>
      </c>
      <c r="D4">
        <f t="shared" ref="D4:D42" si="0">(C4+0.0001)</f>
        <v>3.3300000000000003E-2</v>
      </c>
      <c r="E4">
        <f t="shared" ref="E4:E42" si="1">(D4/0.04812)</f>
        <v>0.69201995012468831</v>
      </c>
    </row>
    <row r="5" spans="1:8" x14ac:dyDescent="0.35">
      <c r="A5">
        <v>3</v>
      </c>
      <c r="B5" t="s">
        <v>6</v>
      </c>
      <c r="C5">
        <v>2.58E-2</v>
      </c>
      <c r="D5">
        <f t="shared" si="0"/>
        <v>2.5899999999999999E-2</v>
      </c>
      <c r="E5">
        <f t="shared" si="1"/>
        <v>0.53823773898586857</v>
      </c>
      <c r="F5">
        <v>0</v>
      </c>
      <c r="G5">
        <v>-1E-4</v>
      </c>
      <c r="H5">
        <f t="shared" ref="H5:H10" si="2">(G5+0.0001)</f>
        <v>0</v>
      </c>
    </row>
    <row r="6" spans="1:8" x14ac:dyDescent="0.35">
      <c r="A6">
        <v>4</v>
      </c>
      <c r="B6" t="s">
        <v>7</v>
      </c>
      <c r="C6">
        <v>2.4299999999999999E-2</v>
      </c>
      <c r="D6">
        <f t="shared" si="0"/>
        <v>2.4399999999999998E-2</v>
      </c>
      <c r="E6">
        <f t="shared" si="1"/>
        <v>0.50706566916043216</v>
      </c>
      <c r="F6">
        <v>0.25</v>
      </c>
      <c r="G6">
        <v>1.2500000000000001E-2</v>
      </c>
      <c r="H6">
        <f t="shared" si="2"/>
        <v>1.26E-2</v>
      </c>
    </row>
    <row r="7" spans="1:8" x14ac:dyDescent="0.35">
      <c r="A7">
        <v>5</v>
      </c>
      <c r="B7" t="s">
        <v>8</v>
      </c>
      <c r="C7">
        <v>3.4000000000000002E-2</v>
      </c>
      <c r="D7">
        <f t="shared" si="0"/>
        <v>3.4100000000000005E-2</v>
      </c>
      <c r="E7">
        <f t="shared" si="1"/>
        <v>0.70864505403158773</v>
      </c>
      <c r="F7">
        <v>0.5</v>
      </c>
      <c r="G7">
        <v>2.6200000000000001E-2</v>
      </c>
      <c r="H7">
        <f t="shared" si="2"/>
        <v>2.63E-2</v>
      </c>
    </row>
    <row r="8" spans="1:8" x14ac:dyDescent="0.35">
      <c r="A8">
        <v>6</v>
      </c>
      <c r="B8" t="s">
        <v>9</v>
      </c>
      <c r="C8">
        <v>2.3900000000000001E-2</v>
      </c>
      <c r="D8">
        <f t="shared" si="0"/>
        <v>2.4E-2</v>
      </c>
      <c r="E8">
        <f t="shared" si="1"/>
        <v>0.49875311720698251</v>
      </c>
      <c r="F8">
        <v>1</v>
      </c>
      <c r="G8">
        <v>5.0900000000000001E-2</v>
      </c>
      <c r="H8">
        <f t="shared" si="2"/>
        <v>5.1000000000000004E-2</v>
      </c>
    </row>
    <row r="9" spans="1:8" x14ac:dyDescent="0.35">
      <c r="A9">
        <v>7</v>
      </c>
      <c r="B9" t="s">
        <v>10</v>
      </c>
      <c r="C9">
        <v>2.4299999999999999E-2</v>
      </c>
      <c r="D9">
        <f t="shared" si="0"/>
        <v>2.4399999999999998E-2</v>
      </c>
      <c r="E9">
        <f t="shared" si="1"/>
        <v>0.50706566916043216</v>
      </c>
      <c r="F9">
        <v>2</v>
      </c>
      <c r="G9">
        <v>0.1002</v>
      </c>
      <c r="H9">
        <f t="shared" si="2"/>
        <v>0.1003</v>
      </c>
    </row>
    <row r="10" spans="1:8" x14ac:dyDescent="0.35">
      <c r="A10">
        <v>8</v>
      </c>
      <c r="B10" t="s">
        <v>11</v>
      </c>
      <c r="C10">
        <v>3.2199999999999999E-2</v>
      </c>
      <c r="D10">
        <f t="shared" si="0"/>
        <v>3.2300000000000002E-2</v>
      </c>
      <c r="E10">
        <f t="shared" si="1"/>
        <v>0.67123857024106404</v>
      </c>
      <c r="F10">
        <v>4</v>
      </c>
      <c r="G10">
        <v>0.1925</v>
      </c>
      <c r="H10">
        <f t="shared" si="2"/>
        <v>0.19259999999999999</v>
      </c>
    </row>
    <row r="11" spans="1:8" x14ac:dyDescent="0.35">
      <c r="A11">
        <v>9</v>
      </c>
      <c r="B11" t="s">
        <v>12</v>
      </c>
      <c r="C11">
        <v>3.0700000000000002E-2</v>
      </c>
      <c r="D11">
        <f t="shared" si="0"/>
        <v>3.0800000000000001E-2</v>
      </c>
      <c r="E11">
        <f t="shared" si="1"/>
        <v>0.64006650041562763</v>
      </c>
    </row>
    <row r="12" spans="1:8" x14ac:dyDescent="0.35">
      <c r="A12">
        <v>10</v>
      </c>
      <c r="B12" t="s">
        <v>13</v>
      </c>
      <c r="C12">
        <v>2.58E-2</v>
      </c>
      <c r="D12">
        <f t="shared" si="0"/>
        <v>2.5899999999999999E-2</v>
      </c>
      <c r="E12">
        <f t="shared" si="1"/>
        <v>0.53823773898586857</v>
      </c>
    </row>
    <row r="13" spans="1:8" x14ac:dyDescent="0.35">
      <c r="A13">
        <v>11</v>
      </c>
      <c r="B13" t="s">
        <v>14</v>
      </c>
      <c r="C13">
        <v>3.1800000000000002E-2</v>
      </c>
      <c r="D13">
        <f t="shared" si="0"/>
        <v>3.1900000000000005E-2</v>
      </c>
      <c r="E13">
        <f t="shared" si="1"/>
        <v>0.66292601828761433</v>
      </c>
    </row>
    <row r="14" spans="1:8" x14ac:dyDescent="0.35">
      <c r="A14">
        <v>12</v>
      </c>
      <c r="B14" t="s">
        <v>15</v>
      </c>
      <c r="C14">
        <v>2.7900000000000001E-2</v>
      </c>
      <c r="D14">
        <f t="shared" si="0"/>
        <v>2.8000000000000001E-2</v>
      </c>
      <c r="E14">
        <f t="shared" si="1"/>
        <v>0.58187863674147966</v>
      </c>
    </row>
    <row r="15" spans="1:8" x14ac:dyDescent="0.35">
      <c r="A15">
        <v>13</v>
      </c>
      <c r="B15" t="s">
        <v>16</v>
      </c>
      <c r="C15">
        <v>1.8100000000000002E-2</v>
      </c>
      <c r="D15">
        <f t="shared" si="0"/>
        <v>1.8200000000000001E-2</v>
      </c>
      <c r="E15">
        <f t="shared" si="1"/>
        <v>0.37822111388196178</v>
      </c>
      <c r="F15">
        <v>0</v>
      </c>
      <c r="G15">
        <v>5.0000000000000001E-4</v>
      </c>
      <c r="H15">
        <f t="shared" ref="H15:H20" si="3">(G15-0.0005)</f>
        <v>0</v>
      </c>
    </row>
    <row r="16" spans="1:8" x14ac:dyDescent="0.35">
      <c r="A16">
        <v>14</v>
      </c>
      <c r="B16" t="s">
        <v>17</v>
      </c>
      <c r="C16">
        <v>2.2800000000000001E-2</v>
      </c>
      <c r="D16">
        <f t="shared" si="0"/>
        <v>2.29E-2</v>
      </c>
      <c r="E16">
        <f t="shared" si="1"/>
        <v>0.47589359933499581</v>
      </c>
      <c r="F16">
        <v>0.25</v>
      </c>
      <c r="G16">
        <v>1.1599999999999999E-2</v>
      </c>
      <c r="H16">
        <f t="shared" si="3"/>
        <v>1.1099999999999999E-2</v>
      </c>
    </row>
    <row r="17" spans="1:8" x14ac:dyDescent="0.35">
      <c r="A17">
        <v>15</v>
      </c>
      <c r="B17" t="s">
        <v>18</v>
      </c>
      <c r="C17">
        <v>2.35E-2</v>
      </c>
      <c r="D17">
        <f t="shared" si="0"/>
        <v>2.3599999999999999E-2</v>
      </c>
      <c r="E17">
        <f t="shared" si="1"/>
        <v>0.4904405652535328</v>
      </c>
      <c r="F17">
        <v>0.5</v>
      </c>
      <c r="G17">
        <v>2.3599999999999999E-2</v>
      </c>
      <c r="H17">
        <f t="shared" si="3"/>
        <v>2.3099999999999999E-2</v>
      </c>
    </row>
    <row r="18" spans="1:8" x14ac:dyDescent="0.35">
      <c r="A18">
        <v>16</v>
      </c>
      <c r="B18" t="s">
        <v>19</v>
      </c>
      <c r="C18">
        <v>2.5700000000000001E-2</v>
      </c>
      <c r="D18">
        <f t="shared" si="0"/>
        <v>2.58E-2</v>
      </c>
      <c r="E18">
        <f t="shared" si="1"/>
        <v>0.53615960099750615</v>
      </c>
      <c r="F18">
        <v>1</v>
      </c>
      <c r="G18">
        <v>4.8300000000000003E-2</v>
      </c>
      <c r="H18">
        <f t="shared" si="3"/>
        <v>4.7800000000000002E-2</v>
      </c>
    </row>
    <row r="19" spans="1:8" x14ac:dyDescent="0.35">
      <c r="A19">
        <v>17</v>
      </c>
      <c r="B19" t="s">
        <v>20</v>
      </c>
      <c r="C19">
        <v>3.3500000000000002E-2</v>
      </c>
      <c r="D19">
        <f t="shared" si="0"/>
        <v>3.3600000000000005E-2</v>
      </c>
      <c r="E19">
        <f t="shared" si="1"/>
        <v>0.69825436408977559</v>
      </c>
      <c r="F19">
        <v>2</v>
      </c>
      <c r="G19">
        <v>9.9699999999999997E-2</v>
      </c>
      <c r="H19">
        <f t="shared" si="3"/>
        <v>9.9199999999999997E-2</v>
      </c>
    </row>
    <row r="20" spans="1:8" x14ac:dyDescent="0.35">
      <c r="A20">
        <v>18</v>
      </c>
      <c r="B20" t="s">
        <v>21</v>
      </c>
      <c r="C20">
        <v>2.29E-2</v>
      </c>
      <c r="D20">
        <f t="shared" si="0"/>
        <v>2.3E-2</v>
      </c>
      <c r="E20">
        <f t="shared" si="1"/>
        <v>0.47797173732335824</v>
      </c>
      <c r="F20">
        <v>4</v>
      </c>
      <c r="G20">
        <v>0.19209999999999999</v>
      </c>
      <c r="H20">
        <f t="shared" si="3"/>
        <v>0.19159999999999999</v>
      </c>
    </row>
    <row r="21" spans="1:8" x14ac:dyDescent="0.35">
      <c r="A21">
        <v>19</v>
      </c>
      <c r="B21" t="s">
        <v>22</v>
      </c>
      <c r="C21">
        <v>2.41E-2</v>
      </c>
      <c r="D21">
        <f t="shared" si="0"/>
        <v>2.4199999999999999E-2</v>
      </c>
      <c r="E21">
        <f t="shared" si="1"/>
        <v>0.50290939318370731</v>
      </c>
    </row>
    <row r="22" spans="1:8" x14ac:dyDescent="0.35">
      <c r="A22">
        <v>20</v>
      </c>
      <c r="B22" t="s">
        <v>23</v>
      </c>
      <c r="C22">
        <v>2.69E-2</v>
      </c>
      <c r="D22">
        <f t="shared" si="0"/>
        <v>2.7E-2</v>
      </c>
      <c r="E22">
        <f t="shared" si="1"/>
        <v>0.56109725685785528</v>
      </c>
    </row>
    <row r="23" spans="1:8" x14ac:dyDescent="0.35">
      <c r="A23">
        <v>21</v>
      </c>
      <c r="B23" t="s">
        <v>24</v>
      </c>
      <c r="C23">
        <v>3.1800000000000002E-2</v>
      </c>
      <c r="D23">
        <f t="shared" si="0"/>
        <v>3.1900000000000005E-2</v>
      </c>
      <c r="E23">
        <f t="shared" si="1"/>
        <v>0.66292601828761433</v>
      </c>
    </row>
    <row r="24" spans="1:8" x14ac:dyDescent="0.35">
      <c r="A24">
        <v>22</v>
      </c>
      <c r="B24" t="s">
        <v>25</v>
      </c>
      <c r="C24">
        <v>2.4500000000000001E-2</v>
      </c>
      <c r="D24">
        <f t="shared" si="0"/>
        <v>2.46E-2</v>
      </c>
      <c r="E24">
        <f t="shared" si="1"/>
        <v>0.51122194513715713</v>
      </c>
    </row>
    <row r="25" spans="1:8" x14ac:dyDescent="0.35">
      <c r="A25">
        <v>23</v>
      </c>
      <c r="B25" t="s">
        <v>26</v>
      </c>
      <c r="C25">
        <v>3.1699999999999999E-2</v>
      </c>
      <c r="D25">
        <f t="shared" si="0"/>
        <v>3.1800000000000002E-2</v>
      </c>
      <c r="E25">
        <f t="shared" si="1"/>
        <v>0.6608478802992519</v>
      </c>
    </row>
    <row r="26" spans="1:8" x14ac:dyDescent="0.35">
      <c r="A26">
        <v>24</v>
      </c>
      <c r="B26" t="s">
        <v>27</v>
      </c>
      <c r="C26">
        <v>0.03</v>
      </c>
      <c r="D26">
        <f t="shared" si="0"/>
        <v>3.0099999999999998E-2</v>
      </c>
      <c r="E26">
        <f t="shared" si="1"/>
        <v>0.62551953449709052</v>
      </c>
    </row>
    <row r="27" spans="1:8" x14ac:dyDescent="0.35">
      <c r="A27">
        <v>25</v>
      </c>
      <c r="B27" t="s">
        <v>28</v>
      </c>
      <c r="C27">
        <v>2.4500000000000001E-2</v>
      </c>
      <c r="D27">
        <f t="shared" si="0"/>
        <v>2.46E-2</v>
      </c>
      <c r="E27">
        <f t="shared" si="1"/>
        <v>0.51122194513715713</v>
      </c>
    </row>
    <row r="28" spans="1:8" x14ac:dyDescent="0.35">
      <c r="A28">
        <v>26</v>
      </c>
      <c r="B28" t="s">
        <v>29</v>
      </c>
      <c r="C28">
        <v>2.7400000000000001E-2</v>
      </c>
      <c r="D28">
        <f t="shared" si="0"/>
        <v>2.75E-2</v>
      </c>
      <c r="E28">
        <f t="shared" si="1"/>
        <v>0.57148794679966741</v>
      </c>
    </row>
    <row r="29" spans="1:8" x14ac:dyDescent="0.35">
      <c r="A29">
        <v>27</v>
      </c>
      <c r="B29" t="s">
        <v>30</v>
      </c>
      <c r="C29">
        <v>1.8599999999999998E-2</v>
      </c>
      <c r="D29">
        <f t="shared" si="0"/>
        <v>1.8699999999999998E-2</v>
      </c>
      <c r="E29">
        <f t="shared" si="1"/>
        <v>0.3886118038237738</v>
      </c>
    </row>
    <row r="30" spans="1:8" x14ac:dyDescent="0.35">
      <c r="A30">
        <v>28</v>
      </c>
      <c r="B30" t="s">
        <v>31</v>
      </c>
      <c r="C30">
        <v>2.7E-2</v>
      </c>
      <c r="D30">
        <f t="shared" si="0"/>
        <v>2.7099999999999999E-2</v>
      </c>
      <c r="E30">
        <f t="shared" si="1"/>
        <v>0.5631753948462177</v>
      </c>
    </row>
    <row r="31" spans="1:8" x14ac:dyDescent="0.35">
      <c r="A31">
        <v>29</v>
      </c>
      <c r="B31" t="s">
        <v>32</v>
      </c>
      <c r="C31">
        <v>2.5399999999999999E-2</v>
      </c>
      <c r="D31">
        <f t="shared" si="0"/>
        <v>2.5499999999999998E-2</v>
      </c>
      <c r="E31">
        <f t="shared" si="1"/>
        <v>0.52992518703241887</v>
      </c>
    </row>
    <row r="32" spans="1:8" x14ac:dyDescent="0.35">
      <c r="A32">
        <v>30</v>
      </c>
      <c r="B32" t="s">
        <v>33</v>
      </c>
      <c r="C32">
        <v>3.0099999999999998E-2</v>
      </c>
      <c r="D32">
        <f t="shared" si="0"/>
        <v>3.0199999999999998E-2</v>
      </c>
      <c r="E32">
        <f t="shared" si="1"/>
        <v>0.62759767248545295</v>
      </c>
    </row>
    <row r="33" spans="1:5" x14ac:dyDescent="0.35">
      <c r="A33">
        <v>31</v>
      </c>
      <c r="B33" t="s">
        <v>34</v>
      </c>
      <c r="C33">
        <v>1.4200000000000001E-2</v>
      </c>
      <c r="D33">
        <f t="shared" si="0"/>
        <v>1.43E-2</v>
      </c>
      <c r="E33">
        <f t="shared" si="1"/>
        <v>0.29717373233582711</v>
      </c>
    </row>
    <row r="34" spans="1:5" x14ac:dyDescent="0.35">
      <c r="A34">
        <v>32</v>
      </c>
      <c r="B34" t="s">
        <v>35</v>
      </c>
      <c r="C34">
        <v>2.9100000000000001E-2</v>
      </c>
      <c r="D34">
        <f t="shared" si="0"/>
        <v>2.92E-2</v>
      </c>
      <c r="E34">
        <f t="shared" si="1"/>
        <v>0.60681629260182868</v>
      </c>
    </row>
    <row r="35" spans="1:5" x14ac:dyDescent="0.35">
      <c r="A35">
        <v>33</v>
      </c>
      <c r="B35" t="s">
        <v>36</v>
      </c>
      <c r="C35">
        <v>1.9699999999999999E-2</v>
      </c>
      <c r="D35">
        <f t="shared" si="0"/>
        <v>1.9799999999999998E-2</v>
      </c>
      <c r="E35">
        <f t="shared" si="1"/>
        <v>0.41147132169576056</v>
      </c>
    </row>
    <row r="36" spans="1:5" x14ac:dyDescent="0.35">
      <c r="A36">
        <v>34</v>
      </c>
      <c r="B36" t="s">
        <v>37</v>
      </c>
      <c r="C36">
        <v>2.8199999999999999E-2</v>
      </c>
      <c r="D36">
        <f t="shared" si="0"/>
        <v>2.8299999999999999E-2</v>
      </c>
      <c r="E36">
        <f t="shared" si="1"/>
        <v>0.58811305070656683</v>
      </c>
    </row>
    <row r="37" spans="1:5" x14ac:dyDescent="0.35">
      <c r="A37">
        <v>35</v>
      </c>
      <c r="B37" t="s">
        <v>38</v>
      </c>
      <c r="C37">
        <v>3.0099999999999998E-2</v>
      </c>
      <c r="D37">
        <f t="shared" si="0"/>
        <v>3.0199999999999998E-2</v>
      </c>
      <c r="E37">
        <f t="shared" si="1"/>
        <v>0.62759767248545295</v>
      </c>
    </row>
    <row r="38" spans="1:5" x14ac:dyDescent="0.35">
      <c r="A38">
        <v>36</v>
      </c>
      <c r="B38" t="s">
        <v>39</v>
      </c>
      <c r="C38">
        <v>3.2000000000000001E-2</v>
      </c>
      <c r="D38">
        <f t="shared" si="0"/>
        <v>3.2100000000000004E-2</v>
      </c>
      <c r="E38">
        <f t="shared" si="1"/>
        <v>0.66708229426433918</v>
      </c>
    </row>
    <row r="39" spans="1:5" x14ac:dyDescent="0.35">
      <c r="A39">
        <v>37</v>
      </c>
      <c r="B39" t="s">
        <v>40</v>
      </c>
      <c r="C39">
        <v>3.15E-2</v>
      </c>
      <c r="D39">
        <f t="shared" si="0"/>
        <v>3.1600000000000003E-2</v>
      </c>
      <c r="E39">
        <f t="shared" si="1"/>
        <v>0.65669160432252704</v>
      </c>
    </row>
    <row r="40" spans="1:5" x14ac:dyDescent="0.35">
      <c r="A40">
        <v>38</v>
      </c>
      <c r="B40" t="s">
        <v>41</v>
      </c>
      <c r="C40">
        <v>2.3800000000000002E-2</v>
      </c>
      <c r="D40">
        <f t="shared" si="0"/>
        <v>2.3900000000000001E-2</v>
      </c>
      <c r="E40">
        <f t="shared" si="1"/>
        <v>0.49667497921862008</v>
      </c>
    </row>
    <row r="41" spans="1:5" x14ac:dyDescent="0.35">
      <c r="A41">
        <v>39</v>
      </c>
      <c r="B41" t="s">
        <v>42</v>
      </c>
      <c r="C41">
        <v>3.7400000000000003E-2</v>
      </c>
      <c r="D41">
        <f t="shared" si="0"/>
        <v>3.7500000000000006E-2</v>
      </c>
      <c r="E41">
        <f t="shared" si="1"/>
        <v>0.77930174563591026</v>
      </c>
    </row>
    <row r="42" spans="1:5" x14ac:dyDescent="0.35">
      <c r="A42">
        <v>40</v>
      </c>
      <c r="B42" t="s">
        <v>43</v>
      </c>
      <c r="C42">
        <v>2.98E-2</v>
      </c>
      <c r="D42">
        <f t="shared" si="0"/>
        <v>2.9899999999999999E-2</v>
      </c>
      <c r="E42">
        <f t="shared" si="1"/>
        <v>0.62136325852036567</v>
      </c>
    </row>
    <row r="43" spans="1:5" x14ac:dyDescent="0.35">
      <c r="A43">
        <v>41</v>
      </c>
      <c r="B43" t="s">
        <v>44</v>
      </c>
      <c r="C43">
        <v>2.3E-2</v>
      </c>
      <c r="D43">
        <f>(C43-0.005)</f>
        <v>1.7999999999999999E-2</v>
      </c>
      <c r="E43">
        <f>(D43/0.04826)</f>
        <v>0.37297969332780773</v>
      </c>
    </row>
    <row r="44" spans="1:5" x14ac:dyDescent="0.35">
      <c r="A44">
        <v>42</v>
      </c>
      <c r="B44" t="s">
        <v>45</v>
      </c>
      <c r="C44">
        <v>2.3E-2</v>
      </c>
      <c r="D44">
        <f t="shared" ref="D44:D52" si="4">(C44-0.005)</f>
        <v>1.7999999999999999E-2</v>
      </c>
      <c r="E44">
        <f t="shared" ref="E44:E52" si="5">(D44/0.04826)</f>
        <v>0.37297969332780773</v>
      </c>
    </row>
    <row r="45" spans="1:5" x14ac:dyDescent="0.35">
      <c r="A45">
        <v>43</v>
      </c>
      <c r="B45" t="s">
        <v>46</v>
      </c>
      <c r="C45">
        <v>4.4999999999999997E-3</v>
      </c>
      <c r="D45">
        <f t="shared" si="4"/>
        <v>-5.0000000000000044E-4</v>
      </c>
      <c r="E45">
        <f t="shared" si="5"/>
        <v>-1.0360547036883556E-2</v>
      </c>
    </row>
    <row r="46" spans="1:5" x14ac:dyDescent="0.35">
      <c r="A46">
        <v>44</v>
      </c>
      <c r="B46" t="s">
        <v>47</v>
      </c>
      <c r="C46">
        <v>2.6499999999999999E-2</v>
      </c>
      <c r="D46">
        <f t="shared" si="4"/>
        <v>2.1499999999999998E-2</v>
      </c>
      <c r="E46">
        <f t="shared" si="5"/>
        <v>0.44550352258599252</v>
      </c>
    </row>
    <row r="47" spans="1:5" x14ac:dyDescent="0.35">
      <c r="A47">
        <v>45</v>
      </c>
      <c r="B47" t="s">
        <v>48</v>
      </c>
      <c r="C47">
        <v>4.0000000000000001E-3</v>
      </c>
      <c r="D47">
        <f t="shared" si="4"/>
        <v>-1E-3</v>
      </c>
      <c r="E47">
        <f t="shared" si="5"/>
        <v>-2.0721094073767096E-2</v>
      </c>
    </row>
    <row r="48" spans="1:5" x14ac:dyDescent="0.35">
      <c r="A48">
        <v>46</v>
      </c>
      <c r="B48" t="s">
        <v>49</v>
      </c>
      <c r="C48">
        <v>3.3399999999999999E-2</v>
      </c>
      <c r="D48">
        <f t="shared" si="4"/>
        <v>2.8399999999999998E-2</v>
      </c>
      <c r="E48">
        <f t="shared" si="5"/>
        <v>0.58847907169498548</v>
      </c>
    </row>
    <row r="49" spans="1:5" x14ac:dyDescent="0.35">
      <c r="A49">
        <v>47</v>
      </c>
      <c r="B49" t="s">
        <v>50</v>
      </c>
      <c r="C49">
        <v>5.0000000000000001E-3</v>
      </c>
      <c r="D49">
        <f t="shared" si="4"/>
        <v>0</v>
      </c>
      <c r="E49">
        <f t="shared" si="5"/>
        <v>0</v>
      </c>
    </row>
    <row r="50" spans="1:5" x14ac:dyDescent="0.35">
      <c r="A50">
        <v>48</v>
      </c>
      <c r="B50" t="s">
        <v>51</v>
      </c>
      <c r="C50">
        <v>2E-3</v>
      </c>
      <c r="D50">
        <f t="shared" si="4"/>
        <v>-3.0000000000000001E-3</v>
      </c>
      <c r="E50">
        <f t="shared" si="5"/>
        <v>-6.216328222130129E-2</v>
      </c>
    </row>
    <row r="51" spans="1:5" x14ac:dyDescent="0.35">
      <c r="A51">
        <v>49</v>
      </c>
      <c r="B51" t="s">
        <v>52</v>
      </c>
      <c r="C51">
        <v>-1.1999999999999999E-3</v>
      </c>
      <c r="D51">
        <f t="shared" si="4"/>
        <v>-6.1999999999999998E-3</v>
      </c>
      <c r="E51">
        <f t="shared" si="5"/>
        <v>-0.128470783257356</v>
      </c>
    </row>
    <row r="52" spans="1:5" x14ac:dyDescent="0.35">
      <c r="A52">
        <v>50</v>
      </c>
      <c r="B52" t="s">
        <v>53</v>
      </c>
      <c r="C52">
        <v>0</v>
      </c>
      <c r="D52">
        <f t="shared" si="4"/>
        <v>-5.0000000000000001E-3</v>
      </c>
      <c r="E52">
        <f t="shared" si="5"/>
        <v>-0.10360547036883548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5" zoomScale="91" zoomScaleNormal="91" workbookViewId="0">
      <selection activeCell="E45" sqref="E45"/>
    </sheetView>
  </sheetViews>
  <sheetFormatPr defaultRowHeight="14.5" x14ac:dyDescent="0.35"/>
  <cols>
    <col min="2" max="2" width="15.1796875" customWidth="1"/>
  </cols>
  <sheetData>
    <row r="1" spans="1:12" x14ac:dyDescent="0.35">
      <c r="B1" t="s">
        <v>0</v>
      </c>
      <c r="C1" t="s">
        <v>71</v>
      </c>
    </row>
    <row r="2" spans="1:12" x14ac:dyDescent="0.35">
      <c r="B2" t="s">
        <v>2</v>
      </c>
      <c r="C2" t="s">
        <v>3</v>
      </c>
      <c r="E2" t="s">
        <v>60</v>
      </c>
    </row>
    <row r="3" spans="1:12" x14ac:dyDescent="0.35">
      <c r="A3">
        <v>1</v>
      </c>
      <c r="B3" t="s">
        <v>4</v>
      </c>
      <c r="C3">
        <v>1.89E-2</v>
      </c>
      <c r="D3">
        <f>(C3+0.0006)</f>
        <v>1.95E-2</v>
      </c>
      <c r="E3">
        <f>(D3/0.2807)</f>
        <v>6.9469184182401139E-2</v>
      </c>
    </row>
    <row r="4" spans="1:12" x14ac:dyDescent="0.35">
      <c r="A4">
        <v>2</v>
      </c>
      <c r="B4" t="s">
        <v>5</v>
      </c>
      <c r="C4">
        <v>2.6200000000000001E-2</v>
      </c>
      <c r="D4">
        <f t="shared" ref="D4:D42" si="0">(C4+0.0006)</f>
        <v>2.6800000000000001E-2</v>
      </c>
      <c r="E4">
        <f t="shared" ref="E4:E42" si="1">(D4/0.2807)</f>
        <v>9.5475596722479517E-2</v>
      </c>
      <c r="J4">
        <v>0</v>
      </c>
      <c r="K4">
        <v>-5.9999999999999995E-4</v>
      </c>
      <c r="L4">
        <f>(K4+0.0006)</f>
        <v>0</v>
      </c>
    </row>
    <row r="5" spans="1:12" x14ac:dyDescent="0.35">
      <c r="A5">
        <v>3</v>
      </c>
      <c r="B5" t="s">
        <v>6</v>
      </c>
      <c r="C5">
        <v>2.6200000000000001E-2</v>
      </c>
      <c r="D5">
        <f t="shared" si="0"/>
        <v>2.6800000000000001E-2</v>
      </c>
      <c r="E5">
        <f t="shared" si="1"/>
        <v>9.5475596722479517E-2</v>
      </c>
      <c r="J5">
        <v>0.25</v>
      </c>
      <c r="K5">
        <v>5.2999999999999999E-2</v>
      </c>
      <c r="L5">
        <f>(K5+0.0006)</f>
        <v>5.3600000000000002E-2</v>
      </c>
    </row>
    <row r="6" spans="1:12" x14ac:dyDescent="0.35">
      <c r="A6">
        <v>4</v>
      </c>
      <c r="B6" t="s">
        <v>7</v>
      </c>
      <c r="C6">
        <v>4.5400000000000003E-2</v>
      </c>
      <c r="D6">
        <f t="shared" si="0"/>
        <v>4.6000000000000006E-2</v>
      </c>
      <c r="E6">
        <f t="shared" si="1"/>
        <v>0.16387602422515143</v>
      </c>
      <c r="J6">
        <v>0.5</v>
      </c>
      <c r="K6">
        <v>0.1351</v>
      </c>
      <c r="L6">
        <f>(K6+0.0006)</f>
        <v>0.13569999999999999</v>
      </c>
    </row>
    <row r="7" spans="1:12" x14ac:dyDescent="0.35">
      <c r="A7">
        <v>5</v>
      </c>
      <c r="B7" t="s">
        <v>8</v>
      </c>
      <c r="C7">
        <v>1.52E-2</v>
      </c>
      <c r="D7">
        <f t="shared" si="0"/>
        <v>1.5800000000000002E-2</v>
      </c>
      <c r="E7">
        <f t="shared" si="1"/>
        <v>5.6287851799073751E-2</v>
      </c>
      <c r="J7">
        <v>1</v>
      </c>
    </row>
    <row r="8" spans="1:12" x14ac:dyDescent="0.35">
      <c r="A8">
        <v>6</v>
      </c>
      <c r="B8" t="s">
        <v>9</v>
      </c>
      <c r="C8">
        <v>1.6199999999999999E-2</v>
      </c>
      <c r="D8">
        <f t="shared" si="0"/>
        <v>1.6799999999999999E-2</v>
      </c>
      <c r="E8">
        <f t="shared" si="1"/>
        <v>5.9850374064837904E-2</v>
      </c>
      <c r="J8">
        <v>2</v>
      </c>
      <c r="K8">
        <v>0.55510000000000004</v>
      </c>
      <c r="L8">
        <f>(K8+0.0006)</f>
        <v>0.55570000000000008</v>
      </c>
    </row>
    <row r="9" spans="1:12" x14ac:dyDescent="0.35">
      <c r="A9">
        <v>7</v>
      </c>
      <c r="B9" t="s">
        <v>10</v>
      </c>
      <c r="C9">
        <v>2.07E-2</v>
      </c>
      <c r="D9">
        <f t="shared" si="0"/>
        <v>2.1299999999999999E-2</v>
      </c>
      <c r="E9">
        <f t="shared" si="1"/>
        <v>7.588172426077662E-2</v>
      </c>
      <c r="J9">
        <v>4</v>
      </c>
      <c r="K9">
        <v>0.6401</v>
      </c>
      <c r="L9">
        <f>(K9+0.0006)</f>
        <v>0.64070000000000005</v>
      </c>
    </row>
    <row r="10" spans="1:12" x14ac:dyDescent="0.35">
      <c r="A10">
        <v>8</v>
      </c>
      <c r="B10" t="s">
        <v>11</v>
      </c>
      <c r="C10">
        <v>1.32E-2</v>
      </c>
      <c r="D10">
        <f t="shared" si="0"/>
        <v>1.38E-2</v>
      </c>
      <c r="E10">
        <f t="shared" si="1"/>
        <v>4.9162807267545419E-2</v>
      </c>
    </row>
    <row r="11" spans="1:12" x14ac:dyDescent="0.35">
      <c r="A11">
        <v>9</v>
      </c>
      <c r="B11" t="s">
        <v>12</v>
      </c>
      <c r="C11">
        <v>3.6600000000000001E-2</v>
      </c>
      <c r="D11">
        <f t="shared" si="0"/>
        <v>3.7200000000000004E-2</v>
      </c>
      <c r="E11">
        <f t="shared" si="1"/>
        <v>0.13252582828642681</v>
      </c>
    </row>
    <row r="12" spans="1:12" x14ac:dyDescent="0.35">
      <c r="A12">
        <v>10</v>
      </c>
      <c r="B12" t="s">
        <v>13</v>
      </c>
      <c r="C12">
        <v>9.5999999999999992E-3</v>
      </c>
      <c r="D12">
        <f t="shared" si="0"/>
        <v>1.0199999999999999E-2</v>
      </c>
      <c r="E12">
        <f t="shared" si="1"/>
        <v>3.6337727110794436E-2</v>
      </c>
    </row>
    <row r="13" spans="1:12" x14ac:dyDescent="0.35">
      <c r="A13">
        <v>11</v>
      </c>
      <c r="B13" t="s">
        <v>14</v>
      </c>
      <c r="C13">
        <v>1.06E-2</v>
      </c>
      <c r="D13">
        <f t="shared" si="0"/>
        <v>1.12E-2</v>
      </c>
      <c r="E13">
        <f t="shared" si="1"/>
        <v>3.9900249376558602E-2</v>
      </c>
      <c r="J13">
        <v>0</v>
      </c>
      <c r="K13">
        <v>-2E-3</v>
      </c>
      <c r="L13">
        <f>(K13+0.002)</f>
        <v>0</v>
      </c>
    </row>
    <row r="14" spans="1:12" x14ac:dyDescent="0.35">
      <c r="A14">
        <v>12</v>
      </c>
      <c r="B14" t="s">
        <v>15</v>
      </c>
      <c r="C14">
        <v>3.5700000000000003E-2</v>
      </c>
      <c r="D14">
        <f t="shared" si="0"/>
        <v>3.6300000000000006E-2</v>
      </c>
      <c r="E14">
        <f t="shared" si="1"/>
        <v>0.12931955824723906</v>
      </c>
      <c r="J14">
        <v>0.25</v>
      </c>
      <c r="K14">
        <v>5.3199999999999997E-2</v>
      </c>
      <c r="L14">
        <f>(K14+0.002)</f>
        <v>5.5199999999999999E-2</v>
      </c>
    </row>
    <row r="15" spans="1:12" x14ac:dyDescent="0.35">
      <c r="A15">
        <v>13</v>
      </c>
      <c r="B15" t="s">
        <v>16</v>
      </c>
      <c r="C15">
        <v>2.46E-2</v>
      </c>
      <c r="D15">
        <f t="shared" si="0"/>
        <v>2.52E-2</v>
      </c>
      <c r="E15">
        <f t="shared" si="1"/>
        <v>8.9775561097256859E-2</v>
      </c>
      <c r="J15">
        <v>0.5</v>
      </c>
      <c r="K15">
        <v>0.13350000000000001</v>
      </c>
      <c r="L15">
        <f>(K15+0.002)</f>
        <v>0.13550000000000001</v>
      </c>
    </row>
    <row r="16" spans="1:12" x14ac:dyDescent="0.35">
      <c r="A16">
        <v>14</v>
      </c>
      <c r="B16" t="s">
        <v>17</v>
      </c>
      <c r="C16">
        <v>1.6299999999999999E-2</v>
      </c>
      <c r="D16">
        <f t="shared" si="0"/>
        <v>1.6899999999999998E-2</v>
      </c>
      <c r="E16">
        <f t="shared" si="1"/>
        <v>6.0206626291414315E-2</v>
      </c>
      <c r="J16">
        <v>1</v>
      </c>
    </row>
    <row r="17" spans="1:12" x14ac:dyDescent="0.35">
      <c r="A17">
        <v>15</v>
      </c>
      <c r="B17" t="s">
        <v>18</v>
      </c>
      <c r="C17">
        <v>9.7999999999999997E-3</v>
      </c>
      <c r="D17">
        <f t="shared" si="0"/>
        <v>1.04E-2</v>
      </c>
      <c r="E17">
        <f t="shared" si="1"/>
        <v>3.7050231563947274E-2</v>
      </c>
      <c r="J17">
        <v>2</v>
      </c>
      <c r="K17">
        <v>0.5464</v>
      </c>
      <c r="L17">
        <f>(K17+0.002)</f>
        <v>0.5484</v>
      </c>
    </row>
    <row r="18" spans="1:12" x14ac:dyDescent="0.35">
      <c r="A18">
        <v>16</v>
      </c>
      <c r="B18" t="s">
        <v>19</v>
      </c>
      <c r="C18">
        <v>0.1188</v>
      </c>
      <c r="D18">
        <f t="shared" si="0"/>
        <v>0.11940000000000001</v>
      </c>
      <c r="E18">
        <f t="shared" si="1"/>
        <v>0.42536515853224083</v>
      </c>
      <c r="J18">
        <v>4</v>
      </c>
      <c r="K18">
        <v>0.62590000000000001</v>
      </c>
      <c r="L18">
        <f>(K18+0.002)</f>
        <v>0.62790000000000001</v>
      </c>
    </row>
    <row r="19" spans="1:12" x14ac:dyDescent="0.35">
      <c r="A19">
        <v>17</v>
      </c>
      <c r="B19" t="s">
        <v>20</v>
      </c>
      <c r="C19">
        <v>1.2500000000000001E-2</v>
      </c>
      <c r="D19">
        <f t="shared" si="0"/>
        <v>1.3100000000000001E-2</v>
      </c>
      <c r="E19">
        <f t="shared" si="1"/>
        <v>4.6669041681510509E-2</v>
      </c>
    </row>
    <row r="20" spans="1:12" x14ac:dyDescent="0.35">
      <c r="A20">
        <v>18</v>
      </c>
      <c r="B20" t="s">
        <v>21</v>
      </c>
      <c r="C20">
        <v>9.5999999999999992E-3</v>
      </c>
      <c r="D20">
        <f t="shared" si="0"/>
        <v>1.0199999999999999E-2</v>
      </c>
      <c r="E20">
        <f t="shared" si="1"/>
        <v>3.6337727110794436E-2</v>
      </c>
    </row>
    <row r="21" spans="1:12" x14ac:dyDescent="0.35">
      <c r="A21">
        <v>19</v>
      </c>
      <c r="B21" t="s">
        <v>22</v>
      </c>
      <c r="C21">
        <v>2.0299999999999999E-2</v>
      </c>
      <c r="D21">
        <f t="shared" si="0"/>
        <v>2.0899999999999998E-2</v>
      </c>
      <c r="E21">
        <f t="shared" si="1"/>
        <v>7.4456715354470959E-2</v>
      </c>
    </row>
    <row r="22" spans="1:12" x14ac:dyDescent="0.35">
      <c r="A22">
        <v>20</v>
      </c>
      <c r="B22" t="s">
        <v>23</v>
      </c>
      <c r="C22">
        <v>1.3100000000000001E-2</v>
      </c>
      <c r="D22">
        <f t="shared" si="0"/>
        <v>1.37E-2</v>
      </c>
      <c r="E22">
        <f t="shared" si="1"/>
        <v>4.8806555040969007E-2</v>
      </c>
    </row>
    <row r="23" spans="1:12" x14ac:dyDescent="0.35">
      <c r="A23">
        <v>21</v>
      </c>
      <c r="B23" t="s">
        <v>24</v>
      </c>
      <c r="C23">
        <v>1.32E-2</v>
      </c>
      <c r="D23">
        <f t="shared" si="0"/>
        <v>1.38E-2</v>
      </c>
      <c r="E23">
        <f t="shared" si="1"/>
        <v>4.9162807267545419E-2</v>
      </c>
    </row>
    <row r="24" spans="1:12" x14ac:dyDescent="0.35">
      <c r="A24">
        <v>22</v>
      </c>
      <c r="B24" t="s">
        <v>25</v>
      </c>
      <c r="C24">
        <v>8.3699999999999997E-2</v>
      </c>
      <c r="D24">
        <f t="shared" si="0"/>
        <v>8.43E-2</v>
      </c>
      <c r="E24">
        <f t="shared" si="1"/>
        <v>0.30032062700391876</v>
      </c>
    </row>
    <row r="25" spans="1:12" x14ac:dyDescent="0.35">
      <c r="A25">
        <v>23</v>
      </c>
      <c r="B25" t="s">
        <v>26</v>
      </c>
      <c r="C25">
        <v>0.1163</v>
      </c>
      <c r="D25">
        <f t="shared" si="0"/>
        <v>0.1169</v>
      </c>
      <c r="E25">
        <f t="shared" si="1"/>
        <v>0.41645885286783041</v>
      </c>
    </row>
    <row r="26" spans="1:12" x14ac:dyDescent="0.35">
      <c r="A26">
        <v>24</v>
      </c>
      <c r="B26" t="s">
        <v>27</v>
      </c>
      <c r="C26">
        <v>0.15690000000000001</v>
      </c>
      <c r="D26">
        <f t="shared" si="0"/>
        <v>0.1575</v>
      </c>
      <c r="E26">
        <f t="shared" si="1"/>
        <v>0.56109725685785539</v>
      </c>
    </row>
    <row r="27" spans="1:12" x14ac:dyDescent="0.35">
      <c r="A27">
        <v>25</v>
      </c>
      <c r="B27" t="s">
        <v>28</v>
      </c>
      <c r="C27">
        <v>2.8899999999999999E-2</v>
      </c>
      <c r="D27">
        <f t="shared" si="0"/>
        <v>2.9499999999999998E-2</v>
      </c>
      <c r="E27">
        <f t="shared" si="1"/>
        <v>0.10509440684004275</v>
      </c>
    </row>
    <row r="28" spans="1:12" x14ac:dyDescent="0.35">
      <c r="A28">
        <v>26</v>
      </c>
      <c r="B28" t="s">
        <v>29</v>
      </c>
      <c r="C28">
        <v>2.18E-2</v>
      </c>
      <c r="D28">
        <f t="shared" si="0"/>
        <v>2.24E-2</v>
      </c>
      <c r="E28">
        <f t="shared" si="1"/>
        <v>7.9800498753117205E-2</v>
      </c>
    </row>
    <row r="29" spans="1:12" x14ac:dyDescent="0.35">
      <c r="A29">
        <v>27</v>
      </c>
      <c r="B29" t="s">
        <v>30</v>
      </c>
      <c r="C29">
        <v>1.7299999999999999E-2</v>
      </c>
      <c r="D29">
        <f t="shared" si="0"/>
        <v>1.7899999999999999E-2</v>
      </c>
      <c r="E29">
        <f t="shared" si="1"/>
        <v>6.3769148557178482E-2</v>
      </c>
    </row>
    <row r="30" spans="1:12" x14ac:dyDescent="0.35">
      <c r="A30">
        <v>28</v>
      </c>
      <c r="B30" t="s">
        <v>31</v>
      </c>
      <c r="C30">
        <v>3.4299999999999997E-2</v>
      </c>
      <c r="D30">
        <f t="shared" si="0"/>
        <v>3.49E-2</v>
      </c>
      <c r="E30">
        <f t="shared" si="1"/>
        <v>0.12433202707516922</v>
      </c>
    </row>
    <row r="31" spans="1:12" x14ac:dyDescent="0.35">
      <c r="A31">
        <v>29</v>
      </c>
      <c r="B31" t="s">
        <v>32</v>
      </c>
      <c r="C31">
        <v>1.23E-2</v>
      </c>
      <c r="D31">
        <f t="shared" si="0"/>
        <v>1.29E-2</v>
      </c>
      <c r="E31">
        <f t="shared" si="1"/>
        <v>4.5956537228357679E-2</v>
      </c>
    </row>
    <row r="32" spans="1:12" x14ac:dyDescent="0.35">
      <c r="A32">
        <v>30</v>
      </c>
      <c r="B32" t="s">
        <v>33</v>
      </c>
      <c r="C32">
        <v>1.1599999999999999E-2</v>
      </c>
      <c r="D32">
        <f t="shared" si="0"/>
        <v>1.2199999999999999E-2</v>
      </c>
      <c r="E32">
        <f t="shared" si="1"/>
        <v>4.3462771642322762E-2</v>
      </c>
    </row>
    <row r="33" spans="1:5" x14ac:dyDescent="0.35">
      <c r="A33">
        <v>31</v>
      </c>
      <c r="B33" t="s">
        <v>34</v>
      </c>
      <c r="C33">
        <v>1.78E-2</v>
      </c>
      <c r="D33">
        <f t="shared" si="0"/>
        <v>1.84E-2</v>
      </c>
      <c r="E33">
        <f t="shared" si="1"/>
        <v>6.5550409690060554E-2</v>
      </c>
    </row>
    <row r="34" spans="1:5" x14ac:dyDescent="0.35">
      <c r="A34">
        <v>32</v>
      </c>
      <c r="B34" t="s">
        <v>35</v>
      </c>
      <c r="C34">
        <v>1.32E-2</v>
      </c>
      <c r="D34">
        <f t="shared" si="0"/>
        <v>1.38E-2</v>
      </c>
      <c r="E34">
        <f t="shared" si="1"/>
        <v>4.9162807267545419E-2</v>
      </c>
    </row>
    <row r="35" spans="1:5" x14ac:dyDescent="0.35">
      <c r="A35">
        <v>33</v>
      </c>
      <c r="B35" t="s">
        <v>36</v>
      </c>
      <c r="C35">
        <v>2.23E-2</v>
      </c>
      <c r="D35">
        <f t="shared" si="0"/>
        <v>2.29E-2</v>
      </c>
      <c r="E35">
        <f t="shared" si="1"/>
        <v>8.1581759885999292E-2</v>
      </c>
    </row>
    <row r="36" spans="1:5" x14ac:dyDescent="0.35">
      <c r="A36">
        <v>34</v>
      </c>
      <c r="B36" t="s">
        <v>37</v>
      </c>
      <c r="C36">
        <v>1.4E-2</v>
      </c>
      <c r="D36">
        <f t="shared" si="0"/>
        <v>1.46E-2</v>
      </c>
      <c r="E36">
        <f t="shared" si="1"/>
        <v>5.2012825080156748E-2</v>
      </c>
    </row>
    <row r="37" spans="1:5" x14ac:dyDescent="0.35">
      <c r="A37">
        <v>35</v>
      </c>
      <c r="B37" t="s">
        <v>38</v>
      </c>
      <c r="C37">
        <v>8.0999999999999996E-3</v>
      </c>
      <c r="D37">
        <f t="shared" si="0"/>
        <v>8.6999999999999994E-3</v>
      </c>
      <c r="E37">
        <f t="shared" si="1"/>
        <v>3.0993943712148198E-2</v>
      </c>
    </row>
    <row r="38" spans="1:5" x14ac:dyDescent="0.35">
      <c r="A38">
        <v>36</v>
      </c>
      <c r="B38" t="s">
        <v>39</v>
      </c>
      <c r="C38">
        <v>9.5999999999999992E-3</v>
      </c>
      <c r="D38">
        <f t="shared" si="0"/>
        <v>1.0199999999999999E-2</v>
      </c>
      <c r="E38">
        <f t="shared" si="1"/>
        <v>3.6337727110794436E-2</v>
      </c>
    </row>
    <row r="39" spans="1:5" x14ac:dyDescent="0.35">
      <c r="A39">
        <v>37</v>
      </c>
      <c r="B39" t="s">
        <v>40</v>
      </c>
      <c r="C39">
        <v>1.7600000000000001E-2</v>
      </c>
      <c r="D39">
        <f t="shared" si="0"/>
        <v>1.8200000000000001E-2</v>
      </c>
      <c r="E39">
        <f t="shared" si="1"/>
        <v>6.4837905236907731E-2</v>
      </c>
    </row>
    <row r="40" spans="1:5" x14ac:dyDescent="0.35">
      <c r="A40">
        <v>38</v>
      </c>
      <c r="B40" t="s">
        <v>41</v>
      </c>
      <c r="C40">
        <v>1.29E-2</v>
      </c>
      <c r="D40">
        <f t="shared" si="0"/>
        <v>1.35E-2</v>
      </c>
      <c r="E40">
        <f t="shared" si="1"/>
        <v>4.809405058781617E-2</v>
      </c>
    </row>
    <row r="41" spans="1:5" x14ac:dyDescent="0.35">
      <c r="A41">
        <v>39</v>
      </c>
      <c r="B41" t="s">
        <v>42</v>
      </c>
      <c r="C41">
        <v>8.3999999999999995E-3</v>
      </c>
      <c r="D41">
        <f t="shared" si="0"/>
        <v>8.9999999999999993E-3</v>
      </c>
      <c r="E41">
        <f t="shared" si="1"/>
        <v>3.2062700391877447E-2</v>
      </c>
    </row>
    <row r="42" spans="1:5" x14ac:dyDescent="0.35">
      <c r="A42">
        <v>40</v>
      </c>
      <c r="B42" t="s">
        <v>43</v>
      </c>
      <c r="C42">
        <v>0.01</v>
      </c>
      <c r="D42">
        <f t="shared" si="0"/>
        <v>1.06E-2</v>
      </c>
      <c r="E42">
        <f t="shared" si="1"/>
        <v>3.7762736017100104E-2</v>
      </c>
    </row>
    <row r="43" spans="1:5" x14ac:dyDescent="0.35">
      <c r="A43" s="4">
        <v>41</v>
      </c>
      <c r="B43" t="s">
        <v>49</v>
      </c>
      <c r="C43">
        <v>-5.9999999999999995E-4</v>
      </c>
      <c r="D43">
        <f t="shared" ref="D43:D52" si="2">(C43+0.0088)</f>
        <v>8.2000000000000007E-3</v>
      </c>
      <c r="E43">
        <f>(D43/0.277)</f>
        <v>2.96028880866426E-2</v>
      </c>
    </row>
    <row r="44" spans="1:5" x14ac:dyDescent="0.35">
      <c r="A44" s="4">
        <v>42</v>
      </c>
      <c r="B44" t="s">
        <v>50</v>
      </c>
      <c r="C44">
        <v>1.8E-3</v>
      </c>
      <c r="D44">
        <f t="shared" si="2"/>
        <v>1.06E-2</v>
      </c>
      <c r="E44">
        <f t="shared" ref="E44:E52" si="3">(D44/0.277)</f>
        <v>3.8267148014440429E-2</v>
      </c>
    </row>
    <row r="45" spans="1:5" x14ac:dyDescent="0.35">
      <c r="A45" s="4">
        <v>43</v>
      </c>
      <c r="B45" t="s">
        <v>51</v>
      </c>
      <c r="C45">
        <v>-6.3E-3</v>
      </c>
      <c r="D45">
        <f t="shared" si="2"/>
        <v>2.5000000000000005E-3</v>
      </c>
      <c r="E45">
        <f t="shared" si="3"/>
        <v>9.0252707581227453E-3</v>
      </c>
    </row>
    <row r="46" spans="1:5" x14ac:dyDescent="0.35">
      <c r="A46" s="4">
        <v>44</v>
      </c>
      <c r="B46" t="s">
        <v>52</v>
      </c>
      <c r="C46">
        <v>7.7899999999999997E-2</v>
      </c>
      <c r="D46">
        <f t="shared" si="2"/>
        <v>8.6699999999999999E-2</v>
      </c>
      <c r="E46">
        <f t="shared" si="3"/>
        <v>0.3129963898916967</v>
      </c>
    </row>
    <row r="47" spans="1:5" x14ac:dyDescent="0.35">
      <c r="A47" s="4">
        <v>45</v>
      </c>
      <c r="B47" t="s">
        <v>53</v>
      </c>
      <c r="C47">
        <v>-4.4999999999999997E-3</v>
      </c>
      <c r="D47">
        <f t="shared" si="2"/>
        <v>4.3000000000000009E-3</v>
      </c>
      <c r="E47">
        <f t="shared" si="3"/>
        <v>1.5523465703971121E-2</v>
      </c>
    </row>
    <row r="48" spans="1:5" x14ac:dyDescent="0.35">
      <c r="A48">
        <v>46</v>
      </c>
      <c r="B48" t="s">
        <v>54</v>
      </c>
      <c r="C48">
        <v>1.4E-3</v>
      </c>
      <c r="D48">
        <f t="shared" si="2"/>
        <v>1.0200000000000001E-2</v>
      </c>
      <c r="E48">
        <f t="shared" si="3"/>
        <v>3.6823104693140797E-2</v>
      </c>
    </row>
    <row r="49" spans="1:5" x14ac:dyDescent="0.35">
      <c r="A49">
        <v>47</v>
      </c>
      <c r="B49" t="s">
        <v>55</v>
      </c>
      <c r="C49">
        <v>-6.4999999999999997E-3</v>
      </c>
      <c r="D49">
        <f t="shared" si="2"/>
        <v>2.3000000000000008E-3</v>
      </c>
      <c r="E49">
        <f t="shared" si="3"/>
        <v>8.303249097472926E-3</v>
      </c>
    </row>
    <row r="50" spans="1:5" x14ac:dyDescent="0.35">
      <c r="A50">
        <v>48</v>
      </c>
      <c r="B50" t="s">
        <v>56</v>
      </c>
      <c r="C50">
        <v>-7.1999999999999998E-3</v>
      </c>
      <c r="D50">
        <f t="shared" si="2"/>
        <v>1.6000000000000007E-3</v>
      </c>
      <c r="E50">
        <f t="shared" si="3"/>
        <v>5.7761732851985582E-3</v>
      </c>
    </row>
    <row r="51" spans="1:5" x14ac:dyDescent="0.35">
      <c r="A51">
        <v>49</v>
      </c>
      <c r="B51" t="s">
        <v>57</v>
      </c>
      <c r="C51">
        <v>-1.04E-2</v>
      </c>
      <c r="D51">
        <f t="shared" si="2"/>
        <v>-1.599999999999999E-3</v>
      </c>
      <c r="E51">
        <f t="shared" si="3"/>
        <v>-5.7761732851985522E-3</v>
      </c>
    </row>
    <row r="52" spans="1:5" x14ac:dyDescent="0.35">
      <c r="A52">
        <v>50</v>
      </c>
      <c r="B52" t="s">
        <v>58</v>
      </c>
      <c r="C52">
        <v>-0.01</v>
      </c>
      <c r="D52">
        <f t="shared" si="2"/>
        <v>-1.1999999999999997E-3</v>
      </c>
      <c r="E52">
        <f t="shared" si="3"/>
        <v>-4.3321299638989152E-3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topLeftCell="A43" workbookViewId="0">
      <selection activeCell="C67" sqref="C67"/>
    </sheetView>
  </sheetViews>
  <sheetFormatPr defaultRowHeight="14.5" x14ac:dyDescent="0.35"/>
  <cols>
    <col min="1" max="1" width="11.7265625" customWidth="1"/>
    <col min="2" max="2" width="17.1796875" customWidth="1"/>
  </cols>
  <sheetData>
    <row r="1" spans="1:8" x14ac:dyDescent="0.35">
      <c r="B1" t="s">
        <v>0</v>
      </c>
      <c r="C1" t="s">
        <v>72</v>
      </c>
      <c r="D1" t="s">
        <v>69</v>
      </c>
      <c r="E1" t="s">
        <v>60</v>
      </c>
    </row>
    <row r="2" spans="1:8" x14ac:dyDescent="0.35">
      <c r="B2" t="s">
        <v>2</v>
      </c>
      <c r="C2" t="s">
        <v>3</v>
      </c>
    </row>
    <row r="3" spans="1:8" x14ac:dyDescent="0.35">
      <c r="A3">
        <v>1</v>
      </c>
      <c r="B3" t="s">
        <v>4</v>
      </c>
      <c r="C3">
        <v>0.251</v>
      </c>
      <c r="D3" s="7">
        <f>(C3+0.0002)</f>
        <v>0.25119999999999998</v>
      </c>
      <c r="E3" s="7">
        <f>(D3/0.08013)</f>
        <v>3.1349057781105696</v>
      </c>
      <c r="F3">
        <v>0</v>
      </c>
      <c r="G3">
        <v>-2.0000000000000001E-4</v>
      </c>
      <c r="H3">
        <f>(G3+0.0002)</f>
        <v>0</v>
      </c>
    </row>
    <row r="4" spans="1:8" x14ac:dyDescent="0.35">
      <c r="A4">
        <v>2</v>
      </c>
      <c r="B4" t="s">
        <v>5</v>
      </c>
      <c r="C4">
        <v>0.31240000000000001</v>
      </c>
      <c r="D4" s="7">
        <f t="shared" ref="D4:D42" si="0">(C4+0.0002)</f>
        <v>0.31259999999999999</v>
      </c>
      <c r="E4" s="7">
        <f t="shared" ref="E4:E42" si="1">(D4/0.08013)</f>
        <v>3.9011606140022459</v>
      </c>
      <c r="F4">
        <v>0.5</v>
      </c>
      <c r="G4">
        <v>4.3400000000000001E-2</v>
      </c>
      <c r="H4">
        <f t="shared" ref="H4:H10" si="2">(G4+0.0002)</f>
        <v>4.36E-2</v>
      </c>
    </row>
    <row r="5" spans="1:8" x14ac:dyDescent="0.35">
      <c r="A5">
        <v>3</v>
      </c>
      <c r="B5" t="s">
        <v>6</v>
      </c>
      <c r="C5">
        <v>0.29670000000000002</v>
      </c>
      <c r="D5" s="7">
        <f t="shared" si="0"/>
        <v>0.2969</v>
      </c>
      <c r="E5" s="7">
        <f t="shared" si="1"/>
        <v>3.7052290028703352</v>
      </c>
      <c r="F5">
        <v>1</v>
      </c>
      <c r="G5">
        <v>8.4599999999999995E-2</v>
      </c>
      <c r="H5">
        <f t="shared" si="2"/>
        <v>8.48E-2</v>
      </c>
    </row>
    <row r="6" spans="1:8" x14ac:dyDescent="0.35">
      <c r="A6">
        <v>4</v>
      </c>
      <c r="B6" t="s">
        <v>7</v>
      </c>
      <c r="C6">
        <v>0.19789999999999999</v>
      </c>
      <c r="D6" s="7">
        <f t="shared" si="0"/>
        <v>0.1981</v>
      </c>
      <c r="E6" s="7">
        <f t="shared" si="1"/>
        <v>2.4722326219892672</v>
      </c>
      <c r="F6">
        <v>2</v>
      </c>
      <c r="G6">
        <v>0.16520000000000001</v>
      </c>
      <c r="H6">
        <f t="shared" si="2"/>
        <v>0.16540000000000002</v>
      </c>
    </row>
    <row r="7" spans="1:8" x14ac:dyDescent="0.35">
      <c r="A7">
        <v>5</v>
      </c>
      <c r="B7" t="s">
        <v>8</v>
      </c>
      <c r="C7">
        <v>0.33710000000000001</v>
      </c>
      <c r="D7" s="7">
        <f t="shared" si="0"/>
        <v>0.33729999999999999</v>
      </c>
      <c r="E7" s="7">
        <f t="shared" si="1"/>
        <v>4.2094097092225127</v>
      </c>
      <c r="F7">
        <v>4</v>
      </c>
      <c r="G7">
        <v>0.31809999999999999</v>
      </c>
      <c r="H7">
        <f t="shared" si="2"/>
        <v>0.31829999999999997</v>
      </c>
    </row>
    <row r="8" spans="1:8" x14ac:dyDescent="0.35">
      <c r="A8">
        <v>6</v>
      </c>
      <c r="B8" t="s">
        <v>9</v>
      </c>
      <c r="C8">
        <v>0.1706</v>
      </c>
      <c r="D8" s="7">
        <f t="shared" si="0"/>
        <v>0.17080000000000001</v>
      </c>
      <c r="E8" s="7">
        <f t="shared" si="1"/>
        <v>2.1315362535879196</v>
      </c>
      <c r="F8">
        <v>6</v>
      </c>
      <c r="G8">
        <v>0.48520000000000002</v>
      </c>
      <c r="H8">
        <f t="shared" si="2"/>
        <v>0.4854</v>
      </c>
    </row>
    <row r="9" spans="1:8" x14ac:dyDescent="0.35">
      <c r="A9">
        <v>7</v>
      </c>
      <c r="B9" t="s">
        <v>10</v>
      </c>
      <c r="C9">
        <v>0.19089999999999999</v>
      </c>
      <c r="D9" s="7">
        <f t="shared" si="0"/>
        <v>0.19109999999999999</v>
      </c>
      <c r="E9" s="7">
        <f t="shared" si="1"/>
        <v>2.3848745788094345</v>
      </c>
      <c r="F9">
        <v>8</v>
      </c>
      <c r="G9">
        <v>0.74280000000000002</v>
      </c>
      <c r="H9">
        <f t="shared" si="2"/>
        <v>0.74299999999999999</v>
      </c>
    </row>
    <row r="10" spans="1:8" x14ac:dyDescent="0.35">
      <c r="A10">
        <v>8</v>
      </c>
      <c r="B10" t="s">
        <v>11</v>
      </c>
      <c r="C10">
        <v>0.27750000000000002</v>
      </c>
      <c r="D10" s="7">
        <f t="shared" si="0"/>
        <v>0.2777</v>
      </c>
      <c r="E10" s="7">
        <f t="shared" si="1"/>
        <v>3.4656183701485084</v>
      </c>
      <c r="F10">
        <v>10</v>
      </c>
      <c r="G10">
        <v>0.7661</v>
      </c>
      <c r="H10">
        <f t="shared" si="2"/>
        <v>0.76629999999999998</v>
      </c>
    </row>
    <row r="11" spans="1:8" x14ac:dyDescent="0.35">
      <c r="A11">
        <v>9</v>
      </c>
      <c r="B11" t="s">
        <v>12</v>
      </c>
      <c r="C11">
        <v>0.38429999999999997</v>
      </c>
      <c r="D11" s="7">
        <f t="shared" si="0"/>
        <v>0.38449999999999995</v>
      </c>
      <c r="E11" s="7">
        <f t="shared" si="1"/>
        <v>4.798452514663671</v>
      </c>
    </row>
    <row r="12" spans="1:8" x14ac:dyDescent="0.35">
      <c r="A12">
        <v>10</v>
      </c>
      <c r="B12" t="s">
        <v>13</v>
      </c>
      <c r="C12">
        <v>0.49080000000000001</v>
      </c>
      <c r="D12" s="7">
        <f t="shared" si="0"/>
        <v>0.49099999999999999</v>
      </c>
      <c r="E12" s="7">
        <f t="shared" si="1"/>
        <v>6.1275427430425555</v>
      </c>
    </row>
    <row r="13" spans="1:8" x14ac:dyDescent="0.35">
      <c r="A13">
        <v>11</v>
      </c>
      <c r="B13" t="s">
        <v>14</v>
      </c>
      <c r="C13">
        <v>0.5121</v>
      </c>
      <c r="D13" s="7">
        <f t="shared" si="0"/>
        <v>0.51229999999999998</v>
      </c>
      <c r="E13" s="7">
        <f t="shared" si="1"/>
        <v>6.3933607887183319</v>
      </c>
    </row>
    <row r="14" spans="1:8" x14ac:dyDescent="0.35">
      <c r="A14">
        <v>12</v>
      </c>
      <c r="B14" t="s">
        <v>15</v>
      </c>
      <c r="C14">
        <v>0.21149999999999999</v>
      </c>
      <c r="D14" s="7">
        <f t="shared" si="0"/>
        <v>0.2117</v>
      </c>
      <c r="E14" s="7">
        <f t="shared" si="1"/>
        <v>2.6419568201672279</v>
      </c>
      <c r="F14">
        <v>0</v>
      </c>
      <c r="G14">
        <v>4.1999999999999997E-3</v>
      </c>
      <c r="H14">
        <f>(G14-0.0042)</f>
        <v>0</v>
      </c>
    </row>
    <row r="15" spans="1:8" x14ac:dyDescent="0.35">
      <c r="A15">
        <v>13</v>
      </c>
      <c r="B15" t="s">
        <v>16</v>
      </c>
      <c r="C15">
        <v>0.1288</v>
      </c>
      <c r="D15" s="7">
        <f t="shared" si="0"/>
        <v>0.129</v>
      </c>
      <c r="E15" s="7">
        <f t="shared" si="1"/>
        <v>1.6098839385997752</v>
      </c>
      <c r="F15">
        <v>0.5</v>
      </c>
      <c r="G15">
        <v>4.1099999999999998E-2</v>
      </c>
      <c r="H15">
        <f t="shared" ref="H15:H21" si="3">(G15-0.0042)</f>
        <v>3.6899999999999995E-2</v>
      </c>
    </row>
    <row r="16" spans="1:8" x14ac:dyDescent="0.35">
      <c r="A16">
        <v>14</v>
      </c>
      <c r="B16" t="s">
        <v>17</v>
      </c>
      <c r="C16">
        <v>0.17860000000000001</v>
      </c>
      <c r="D16" s="7">
        <f t="shared" si="0"/>
        <v>0.17880000000000001</v>
      </c>
      <c r="E16" s="7">
        <f t="shared" si="1"/>
        <v>2.2313740172220142</v>
      </c>
      <c r="F16">
        <v>1</v>
      </c>
      <c r="G16">
        <v>7.7799999999999994E-2</v>
      </c>
      <c r="H16">
        <f t="shared" si="3"/>
        <v>7.3599999999999999E-2</v>
      </c>
    </row>
    <row r="17" spans="1:8" x14ac:dyDescent="0.35">
      <c r="A17">
        <v>15</v>
      </c>
      <c r="B17" t="s">
        <v>18</v>
      </c>
      <c r="C17">
        <v>0.28179999999999999</v>
      </c>
      <c r="D17" s="7">
        <f t="shared" si="0"/>
        <v>0.28199999999999997</v>
      </c>
      <c r="E17" s="7">
        <f t="shared" si="1"/>
        <v>3.5192811681018337</v>
      </c>
      <c r="F17">
        <v>2</v>
      </c>
      <c r="G17">
        <v>0.1585</v>
      </c>
      <c r="H17">
        <f t="shared" si="3"/>
        <v>0.15429999999999999</v>
      </c>
    </row>
    <row r="18" spans="1:8" x14ac:dyDescent="0.35">
      <c r="A18">
        <v>16</v>
      </c>
      <c r="B18" t="s">
        <v>19</v>
      </c>
      <c r="C18">
        <v>0.25559999999999999</v>
      </c>
      <c r="D18" s="7">
        <f t="shared" si="0"/>
        <v>0.25579999999999997</v>
      </c>
      <c r="E18" s="7">
        <f t="shared" si="1"/>
        <v>3.1923124922001742</v>
      </c>
      <c r="F18">
        <v>4</v>
      </c>
      <c r="G18">
        <v>0.20569999999999999</v>
      </c>
      <c r="H18">
        <f t="shared" si="3"/>
        <v>0.20149999999999998</v>
      </c>
    </row>
    <row r="19" spans="1:8" x14ac:dyDescent="0.35">
      <c r="A19">
        <v>17</v>
      </c>
      <c r="B19" t="s">
        <v>20</v>
      </c>
      <c r="C19">
        <v>0.32690000000000002</v>
      </c>
      <c r="D19" s="7">
        <f t="shared" si="0"/>
        <v>0.3271</v>
      </c>
      <c r="E19" s="7">
        <f t="shared" si="1"/>
        <v>4.0821165605890428</v>
      </c>
      <c r="F19">
        <v>6</v>
      </c>
      <c r="G19">
        <v>0.30769999999999997</v>
      </c>
      <c r="H19">
        <f t="shared" si="3"/>
        <v>0.30349999999999999</v>
      </c>
    </row>
    <row r="20" spans="1:8" x14ac:dyDescent="0.35">
      <c r="A20">
        <v>18</v>
      </c>
      <c r="B20" t="s">
        <v>21</v>
      </c>
      <c r="C20">
        <v>0.2132</v>
      </c>
      <c r="D20" s="7">
        <f t="shared" si="0"/>
        <v>0.21340000000000001</v>
      </c>
      <c r="E20" s="7">
        <f t="shared" si="1"/>
        <v>2.6631723449394733</v>
      </c>
      <c r="F20">
        <v>8</v>
      </c>
      <c r="G20">
        <v>0.47860000000000003</v>
      </c>
      <c r="H20">
        <f t="shared" si="3"/>
        <v>0.47440000000000004</v>
      </c>
    </row>
    <row r="21" spans="1:8" x14ac:dyDescent="0.35">
      <c r="A21">
        <v>19</v>
      </c>
      <c r="B21" t="s">
        <v>22</v>
      </c>
      <c r="C21">
        <v>0.24809999999999999</v>
      </c>
      <c r="D21" s="7">
        <f t="shared" si="0"/>
        <v>0.24829999999999999</v>
      </c>
      <c r="E21" s="7">
        <f t="shared" si="1"/>
        <v>3.0987145887932108</v>
      </c>
      <c r="F21">
        <v>10</v>
      </c>
      <c r="G21">
        <v>0.50600000000000001</v>
      </c>
      <c r="H21">
        <f t="shared" si="3"/>
        <v>0.50180000000000002</v>
      </c>
    </row>
    <row r="22" spans="1:8" x14ac:dyDescent="0.35">
      <c r="A22">
        <v>20</v>
      </c>
      <c r="B22" t="s">
        <v>23</v>
      </c>
      <c r="C22">
        <v>0.25009999999999999</v>
      </c>
      <c r="D22" s="7">
        <f t="shared" si="0"/>
        <v>0.25029999999999997</v>
      </c>
      <c r="E22" s="7">
        <f t="shared" si="1"/>
        <v>3.1236740297017338</v>
      </c>
    </row>
    <row r="23" spans="1:8" x14ac:dyDescent="0.35">
      <c r="A23">
        <v>21</v>
      </c>
      <c r="B23" t="s">
        <v>24</v>
      </c>
      <c r="C23">
        <v>0.41539999999999999</v>
      </c>
      <c r="D23" s="7">
        <f t="shared" si="0"/>
        <v>0.41559999999999997</v>
      </c>
      <c r="E23" s="7">
        <f t="shared" si="1"/>
        <v>5.1865718207912135</v>
      </c>
    </row>
    <row r="24" spans="1:8" x14ac:dyDescent="0.35">
      <c r="A24">
        <v>22</v>
      </c>
      <c r="B24" t="s">
        <v>25</v>
      </c>
      <c r="C24">
        <v>0.29420000000000002</v>
      </c>
      <c r="D24" s="7">
        <f t="shared" si="0"/>
        <v>0.2944</v>
      </c>
      <c r="E24" s="7">
        <f t="shared" si="1"/>
        <v>3.6740297017346806</v>
      </c>
    </row>
    <row r="25" spans="1:8" x14ac:dyDescent="0.35">
      <c r="A25">
        <v>23</v>
      </c>
      <c r="B25" t="s">
        <v>26</v>
      </c>
      <c r="C25">
        <v>0.47889999999999999</v>
      </c>
      <c r="D25" s="7">
        <f t="shared" si="0"/>
        <v>0.47909999999999997</v>
      </c>
      <c r="E25" s="7">
        <f t="shared" si="1"/>
        <v>5.9790340696368389</v>
      </c>
    </row>
    <row r="26" spans="1:8" x14ac:dyDescent="0.35">
      <c r="A26">
        <v>24</v>
      </c>
      <c r="B26" t="s">
        <v>27</v>
      </c>
      <c r="C26">
        <v>0.52210000000000001</v>
      </c>
      <c r="D26" s="7">
        <f t="shared" si="0"/>
        <v>0.52229999999999999</v>
      </c>
      <c r="E26" s="7">
        <f t="shared" si="1"/>
        <v>6.5181579932609504</v>
      </c>
    </row>
    <row r="27" spans="1:8" x14ac:dyDescent="0.35">
      <c r="A27">
        <v>25</v>
      </c>
      <c r="B27" t="s">
        <v>28</v>
      </c>
      <c r="C27">
        <v>0.31709999999999999</v>
      </c>
      <c r="D27" s="7">
        <f t="shared" si="0"/>
        <v>0.31729999999999997</v>
      </c>
      <c r="E27" s="7">
        <f t="shared" si="1"/>
        <v>3.9598153001372762</v>
      </c>
    </row>
    <row r="28" spans="1:8" x14ac:dyDescent="0.35">
      <c r="A28">
        <v>26</v>
      </c>
      <c r="B28" t="s">
        <v>29</v>
      </c>
      <c r="C28">
        <v>0.25519999999999998</v>
      </c>
      <c r="D28" s="7">
        <f t="shared" si="0"/>
        <v>0.25539999999999996</v>
      </c>
      <c r="E28" s="7">
        <f t="shared" si="1"/>
        <v>3.1873206040184692</v>
      </c>
    </row>
    <row r="29" spans="1:8" x14ac:dyDescent="0.35">
      <c r="A29">
        <v>27</v>
      </c>
      <c r="B29" t="s">
        <v>30</v>
      </c>
      <c r="C29">
        <v>0.14219999999999999</v>
      </c>
      <c r="D29" s="7">
        <f t="shared" si="0"/>
        <v>0.1424</v>
      </c>
      <c r="E29" s="7">
        <f t="shared" si="1"/>
        <v>1.7771121926868836</v>
      </c>
    </row>
    <row r="30" spans="1:8" x14ac:dyDescent="0.35">
      <c r="A30">
        <v>28</v>
      </c>
      <c r="B30" t="s">
        <v>31</v>
      </c>
      <c r="C30">
        <v>0.3649</v>
      </c>
      <c r="D30" s="7">
        <f t="shared" si="0"/>
        <v>0.36509999999999998</v>
      </c>
      <c r="E30" s="7">
        <f t="shared" si="1"/>
        <v>4.5563459378509918</v>
      </c>
    </row>
    <row r="31" spans="1:8" x14ac:dyDescent="0.35">
      <c r="A31">
        <v>29</v>
      </c>
      <c r="B31" t="s">
        <v>32</v>
      </c>
      <c r="C31">
        <v>0.27950000000000003</v>
      </c>
      <c r="D31" s="7">
        <f t="shared" si="0"/>
        <v>0.2797</v>
      </c>
      <c r="E31" s="7">
        <f t="shared" si="1"/>
        <v>3.4905778110570322</v>
      </c>
    </row>
    <row r="32" spans="1:8" x14ac:dyDescent="0.35">
      <c r="A32">
        <v>30</v>
      </c>
      <c r="B32" t="s">
        <v>33</v>
      </c>
      <c r="C32">
        <v>0.40989999999999999</v>
      </c>
      <c r="D32" s="7">
        <f t="shared" si="0"/>
        <v>0.41009999999999996</v>
      </c>
      <c r="E32" s="7">
        <f t="shared" si="1"/>
        <v>5.1179333582927731</v>
      </c>
    </row>
    <row r="33" spans="1:5" x14ac:dyDescent="0.35">
      <c r="A33">
        <v>31</v>
      </c>
      <c r="B33" t="s">
        <v>34</v>
      </c>
      <c r="C33">
        <v>0.24210000000000001</v>
      </c>
      <c r="D33" s="7">
        <f t="shared" si="0"/>
        <v>0.24230000000000002</v>
      </c>
      <c r="E33" s="7">
        <f t="shared" si="1"/>
        <v>3.0238362660676401</v>
      </c>
    </row>
    <row r="34" spans="1:5" x14ac:dyDescent="0.35">
      <c r="A34">
        <v>32</v>
      </c>
      <c r="B34" t="s">
        <v>35</v>
      </c>
      <c r="C34">
        <v>0.25459999999999999</v>
      </c>
      <c r="D34" s="7">
        <f t="shared" si="0"/>
        <v>0.25479999999999997</v>
      </c>
      <c r="E34" s="7">
        <f t="shared" si="1"/>
        <v>3.1798327717459123</v>
      </c>
    </row>
    <row r="35" spans="1:5" x14ac:dyDescent="0.35">
      <c r="A35">
        <v>33</v>
      </c>
      <c r="B35" t="s">
        <v>36</v>
      </c>
      <c r="C35">
        <v>0.1055</v>
      </c>
      <c r="D35" s="7">
        <f t="shared" si="0"/>
        <v>0.1057</v>
      </c>
      <c r="E35" s="7">
        <f t="shared" si="1"/>
        <v>1.3191064520154747</v>
      </c>
    </row>
    <row r="36" spans="1:5" x14ac:dyDescent="0.35">
      <c r="A36">
        <v>34</v>
      </c>
      <c r="B36" t="s">
        <v>37</v>
      </c>
      <c r="C36">
        <v>0.2487</v>
      </c>
      <c r="D36" s="7">
        <f t="shared" si="0"/>
        <v>0.24890000000000001</v>
      </c>
      <c r="E36" s="7">
        <f t="shared" si="1"/>
        <v>3.1062024210657682</v>
      </c>
    </row>
    <row r="37" spans="1:5" x14ac:dyDescent="0.35">
      <c r="A37">
        <v>35</v>
      </c>
      <c r="B37" t="s">
        <v>38</v>
      </c>
      <c r="C37">
        <v>0.4516</v>
      </c>
      <c r="D37" s="7">
        <f t="shared" si="0"/>
        <v>0.45179999999999998</v>
      </c>
      <c r="E37" s="7">
        <f t="shared" si="1"/>
        <v>5.6383377012354918</v>
      </c>
    </row>
    <row r="38" spans="1:5" x14ac:dyDescent="0.35">
      <c r="A38">
        <v>36</v>
      </c>
      <c r="B38" t="s">
        <v>39</v>
      </c>
      <c r="C38">
        <v>0.4677</v>
      </c>
      <c r="D38" s="7">
        <f t="shared" si="0"/>
        <v>0.46789999999999998</v>
      </c>
      <c r="E38" s="7">
        <f t="shared" si="1"/>
        <v>5.8392612005491067</v>
      </c>
    </row>
    <row r="39" spans="1:5" x14ac:dyDescent="0.35">
      <c r="A39">
        <v>37</v>
      </c>
      <c r="B39" t="s">
        <v>40</v>
      </c>
      <c r="C39">
        <v>0.50600000000000001</v>
      </c>
      <c r="D39" s="7">
        <f t="shared" si="0"/>
        <v>0.50619999999999998</v>
      </c>
      <c r="E39" s="7">
        <f t="shared" si="1"/>
        <v>6.3172344939473346</v>
      </c>
    </row>
    <row r="40" spans="1:5" x14ac:dyDescent="0.35">
      <c r="A40">
        <v>38</v>
      </c>
      <c r="B40" t="s">
        <v>41</v>
      </c>
      <c r="C40">
        <v>0.2009</v>
      </c>
      <c r="D40" s="7">
        <f t="shared" si="0"/>
        <v>0.2011</v>
      </c>
      <c r="E40" s="7">
        <f t="shared" si="1"/>
        <v>2.5096717833520525</v>
      </c>
    </row>
    <row r="41" spans="1:5" x14ac:dyDescent="0.35">
      <c r="A41">
        <v>39</v>
      </c>
      <c r="B41" t="s">
        <v>42</v>
      </c>
      <c r="C41">
        <v>0.40260000000000001</v>
      </c>
      <c r="D41" s="7">
        <f t="shared" si="0"/>
        <v>0.40279999999999999</v>
      </c>
      <c r="E41" s="7">
        <f t="shared" si="1"/>
        <v>5.026831398976662</v>
      </c>
    </row>
    <row r="42" spans="1:5" x14ac:dyDescent="0.35">
      <c r="A42">
        <v>40</v>
      </c>
      <c r="B42" t="s">
        <v>43</v>
      </c>
      <c r="C42">
        <v>0.42159999999999997</v>
      </c>
      <c r="D42" s="7">
        <f t="shared" si="0"/>
        <v>0.42179999999999995</v>
      </c>
      <c r="E42" s="7">
        <f t="shared" si="1"/>
        <v>5.2639460876076365</v>
      </c>
    </row>
    <row r="43" spans="1:5" x14ac:dyDescent="0.35">
      <c r="A43">
        <v>41</v>
      </c>
      <c r="B43" t="s">
        <v>44</v>
      </c>
      <c r="C43">
        <v>0.27950000000000003</v>
      </c>
      <c r="D43" s="6">
        <f>(C43-0.0042)</f>
        <v>0.27530000000000004</v>
      </c>
      <c r="E43" s="6">
        <f>(D43/0.07723)</f>
        <v>3.5646769390133377</v>
      </c>
    </row>
    <row r="44" spans="1:5" x14ac:dyDescent="0.35">
      <c r="A44">
        <v>42</v>
      </c>
      <c r="B44" t="s">
        <v>45</v>
      </c>
      <c r="C44">
        <v>0.27389999999999998</v>
      </c>
      <c r="D44" s="6">
        <f t="shared" ref="D44:D52" si="4">(C44-0.0042)</f>
        <v>0.2697</v>
      </c>
      <c r="E44" s="6">
        <f t="shared" ref="E44:E52" si="5">(D44/0.07723)</f>
        <v>3.4921662566360223</v>
      </c>
    </row>
    <row r="45" spans="1:5" x14ac:dyDescent="0.35">
      <c r="A45">
        <v>43</v>
      </c>
      <c r="B45" t="s">
        <v>46</v>
      </c>
      <c r="C45">
        <v>3.5000000000000001E-3</v>
      </c>
      <c r="D45" s="6">
        <f t="shared" si="4"/>
        <v>-6.9999999999999967E-4</v>
      </c>
      <c r="E45" s="6">
        <f t="shared" si="5"/>
        <v>-9.0638352971643115E-3</v>
      </c>
    </row>
    <row r="46" spans="1:5" x14ac:dyDescent="0.35">
      <c r="A46">
        <v>44</v>
      </c>
      <c r="B46" t="s">
        <v>47</v>
      </c>
      <c r="C46">
        <v>0.13750000000000001</v>
      </c>
      <c r="D46" s="6">
        <f t="shared" si="4"/>
        <v>0.1333</v>
      </c>
      <c r="E46" s="6">
        <f t="shared" si="5"/>
        <v>1.7260132073028618</v>
      </c>
    </row>
    <row r="47" spans="1:5" x14ac:dyDescent="0.35">
      <c r="A47">
        <v>45</v>
      </c>
      <c r="B47" t="s">
        <v>48</v>
      </c>
      <c r="C47">
        <v>-8.9999999999999998E-4</v>
      </c>
      <c r="D47" s="6">
        <f t="shared" si="4"/>
        <v>-5.0999999999999995E-3</v>
      </c>
      <c r="E47" s="6">
        <f t="shared" si="5"/>
        <v>-6.6036514307911437E-2</v>
      </c>
    </row>
    <row r="48" spans="1:5" x14ac:dyDescent="0.35">
      <c r="A48">
        <v>46</v>
      </c>
      <c r="B48" t="s">
        <v>49</v>
      </c>
      <c r="C48">
        <v>0.53500000000000003</v>
      </c>
      <c r="D48" s="6">
        <f t="shared" si="4"/>
        <v>0.53080000000000005</v>
      </c>
      <c r="E48" s="6">
        <f t="shared" si="5"/>
        <v>6.8729768224783125</v>
      </c>
    </row>
    <row r="49" spans="1:5" x14ac:dyDescent="0.35">
      <c r="A49">
        <v>47</v>
      </c>
      <c r="B49" t="s">
        <v>50</v>
      </c>
      <c r="C49">
        <v>4.0000000000000001E-3</v>
      </c>
      <c r="D49" s="6">
        <f t="shared" si="4"/>
        <v>-1.9999999999999966E-4</v>
      </c>
      <c r="E49" s="6">
        <f t="shared" si="5"/>
        <v>-2.5896672277612286E-3</v>
      </c>
    </row>
    <row r="50" spans="1:5" x14ac:dyDescent="0.35">
      <c r="A50">
        <v>48</v>
      </c>
      <c r="B50" t="s">
        <v>51</v>
      </c>
      <c r="C50">
        <v>-2.8999999999999998E-3</v>
      </c>
      <c r="D50" s="6">
        <f t="shared" si="4"/>
        <v>-7.0999999999999995E-3</v>
      </c>
      <c r="E50" s="6">
        <f t="shared" si="5"/>
        <v>-9.1933186585523768E-2</v>
      </c>
    </row>
    <row r="51" spans="1:5" x14ac:dyDescent="0.35">
      <c r="A51">
        <v>49</v>
      </c>
      <c r="B51" t="s">
        <v>52</v>
      </c>
      <c r="C51">
        <v>-4.1999999999999997E-3</v>
      </c>
      <c r="D51" s="6">
        <f t="shared" si="4"/>
        <v>-8.3999999999999995E-3</v>
      </c>
      <c r="E51" s="6">
        <f t="shared" si="5"/>
        <v>-0.10876602356597177</v>
      </c>
    </row>
    <row r="52" spans="1:5" x14ac:dyDescent="0.35">
      <c r="A52">
        <v>50</v>
      </c>
      <c r="B52" t="s">
        <v>53</v>
      </c>
      <c r="C52">
        <v>-4.7000000000000002E-3</v>
      </c>
      <c r="D52" s="6">
        <f t="shared" si="4"/>
        <v>-8.8999999999999999E-3</v>
      </c>
      <c r="E52" s="6">
        <f t="shared" si="5"/>
        <v>-0.11524019163537487</v>
      </c>
    </row>
    <row r="53" spans="1:5" x14ac:dyDescent="0.35">
      <c r="D53" s="6"/>
      <c r="E53" s="6"/>
    </row>
    <row r="54" spans="1:5" x14ac:dyDescent="0.35">
      <c r="D54" s="6"/>
      <c r="E54" s="6"/>
    </row>
    <row r="55" spans="1:5" x14ac:dyDescent="0.35">
      <c r="D55" s="6"/>
      <c r="E55" s="6"/>
    </row>
    <row r="56" spans="1:5" x14ac:dyDescent="0.35">
      <c r="D56" s="6"/>
      <c r="E56" s="6"/>
    </row>
    <row r="57" spans="1:5" x14ac:dyDescent="0.35">
      <c r="D57" s="6"/>
      <c r="E57" s="6"/>
    </row>
    <row r="58" spans="1:5" x14ac:dyDescent="0.35">
      <c r="D58" s="6"/>
      <c r="E58" s="6"/>
    </row>
    <row r="59" spans="1:5" x14ac:dyDescent="0.35">
      <c r="D59" s="6"/>
      <c r="E59" s="6"/>
    </row>
    <row r="60" spans="1:5" x14ac:dyDescent="0.35">
      <c r="D60" s="6"/>
      <c r="E60" s="6"/>
    </row>
    <row r="61" spans="1:5" x14ac:dyDescent="0.35">
      <c r="D61" s="6"/>
      <c r="E61" s="6"/>
    </row>
    <row r="62" spans="1:5" x14ac:dyDescent="0.35">
      <c r="D62" s="6"/>
      <c r="E62" s="6"/>
    </row>
    <row r="63" spans="1:5" x14ac:dyDescent="0.35">
      <c r="D63" s="6"/>
      <c r="E63" s="6"/>
    </row>
    <row r="64" spans="1:5" x14ac:dyDescent="0.35">
      <c r="D64" s="6"/>
      <c r="E64" s="6"/>
    </row>
    <row r="65" spans="4:5" x14ac:dyDescent="0.35">
      <c r="D65" s="6"/>
      <c r="E65" s="6"/>
    </row>
    <row r="66" spans="4:5" x14ac:dyDescent="0.35">
      <c r="D66" s="6"/>
      <c r="E66" s="6"/>
    </row>
    <row r="67" spans="4:5" x14ac:dyDescent="0.35">
      <c r="D67" s="6"/>
      <c r="E67" s="6"/>
    </row>
    <row r="68" spans="4:5" x14ac:dyDescent="0.35">
      <c r="D68" s="6"/>
      <c r="E68" s="6"/>
    </row>
    <row r="69" spans="4:5" x14ac:dyDescent="0.35">
      <c r="D69" s="6"/>
      <c r="E69" s="6"/>
    </row>
    <row r="70" spans="4:5" x14ac:dyDescent="0.35">
      <c r="D70" s="6"/>
      <c r="E70" s="6"/>
    </row>
    <row r="71" spans="4:5" x14ac:dyDescent="0.35">
      <c r="D71" s="6"/>
      <c r="E71" s="6"/>
    </row>
    <row r="72" spans="4:5" x14ac:dyDescent="0.35">
      <c r="D72" s="6"/>
      <c r="E72" s="6"/>
    </row>
    <row r="73" spans="4:5" x14ac:dyDescent="0.35">
      <c r="D73" s="6"/>
      <c r="E73" s="6"/>
    </row>
    <row r="74" spans="4:5" x14ac:dyDescent="0.35">
      <c r="D74" s="6"/>
      <c r="E74" s="6"/>
    </row>
    <row r="75" spans="4:5" x14ac:dyDescent="0.35">
      <c r="D75" s="6"/>
      <c r="E75" s="6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topLeftCell="A25" zoomScale="95" zoomScaleNormal="95" workbookViewId="0">
      <selection activeCell="D51" sqref="D51"/>
    </sheetView>
  </sheetViews>
  <sheetFormatPr defaultRowHeight="14.5" x14ac:dyDescent="0.35"/>
  <cols>
    <col min="9" max="9" width="14.54296875" customWidth="1"/>
  </cols>
  <sheetData>
    <row r="1" spans="1:9" x14ac:dyDescent="0.35">
      <c r="B1" t="s">
        <v>0</v>
      </c>
      <c r="C1" t="s">
        <v>73</v>
      </c>
      <c r="E1" t="s">
        <v>75</v>
      </c>
    </row>
    <row r="2" spans="1:9" x14ac:dyDescent="0.35">
      <c r="B2" t="s">
        <v>2</v>
      </c>
      <c r="C2" t="s">
        <v>3</v>
      </c>
    </row>
    <row r="3" spans="1:9" x14ac:dyDescent="0.35">
      <c r="A3">
        <v>1</v>
      </c>
      <c r="B3" t="s">
        <v>4</v>
      </c>
      <c r="C3">
        <v>2.3E-2</v>
      </c>
      <c r="D3">
        <f>(C3-0.0006)</f>
        <v>2.24E-2</v>
      </c>
      <c r="E3">
        <f>(D3/0.01921)</f>
        <v>1.1660593440916189</v>
      </c>
      <c r="G3" s="5" t="s">
        <v>60</v>
      </c>
      <c r="H3" s="5" t="s">
        <v>3</v>
      </c>
      <c r="I3" t="s">
        <v>69</v>
      </c>
    </row>
    <row r="4" spans="1:9" x14ac:dyDescent="0.35">
      <c r="A4">
        <v>2</v>
      </c>
      <c r="B4" t="s">
        <v>5</v>
      </c>
      <c r="C4">
        <v>2.64E-2</v>
      </c>
      <c r="D4">
        <f t="shared" ref="D4:D42" si="0">(C4-0.0006)</f>
        <v>2.58E-2</v>
      </c>
      <c r="E4">
        <f t="shared" ref="E4:E42" si="1">(D4/0.01921)</f>
        <v>1.3430504945340966</v>
      </c>
      <c r="G4" s="5">
        <v>0</v>
      </c>
      <c r="H4" s="5">
        <v>5.9999999999999995E-4</v>
      </c>
      <c r="I4">
        <f t="shared" ref="I4:I9" si="2">(H4-0.0006)</f>
        <v>0</v>
      </c>
    </row>
    <row r="5" spans="1:9" x14ac:dyDescent="0.35">
      <c r="A5">
        <v>3</v>
      </c>
      <c r="B5" t="s">
        <v>6</v>
      </c>
      <c r="C5">
        <v>1.5100000000000001E-2</v>
      </c>
      <c r="D5">
        <f t="shared" si="0"/>
        <v>1.4500000000000001E-2</v>
      </c>
      <c r="E5">
        <f t="shared" si="1"/>
        <v>0.75481520041644978</v>
      </c>
      <c r="G5" s="5">
        <v>0.25</v>
      </c>
      <c r="H5" s="5">
        <v>5.7000000000000002E-3</v>
      </c>
      <c r="I5">
        <f t="shared" si="2"/>
        <v>5.1000000000000004E-3</v>
      </c>
    </row>
    <row r="6" spans="1:9" x14ac:dyDescent="0.35">
      <c r="A6">
        <v>4</v>
      </c>
      <c r="B6" t="s">
        <v>7</v>
      </c>
      <c r="C6">
        <v>1.34E-2</v>
      </c>
      <c r="D6">
        <f t="shared" si="0"/>
        <v>1.2800000000000001E-2</v>
      </c>
      <c r="E6">
        <f t="shared" si="1"/>
        <v>0.66631962519521082</v>
      </c>
      <c r="G6" s="5">
        <v>0.5</v>
      </c>
      <c r="H6" s="5">
        <v>1.0999999999999999E-2</v>
      </c>
      <c r="I6">
        <f t="shared" si="2"/>
        <v>1.04E-2</v>
      </c>
    </row>
    <row r="7" spans="1:9" x14ac:dyDescent="0.35">
      <c r="A7">
        <v>5</v>
      </c>
      <c r="B7" t="s">
        <v>8</v>
      </c>
      <c r="C7">
        <v>2.5000000000000001E-2</v>
      </c>
      <c r="D7">
        <f t="shared" si="0"/>
        <v>2.4400000000000002E-2</v>
      </c>
      <c r="E7">
        <f t="shared" si="1"/>
        <v>1.2701717855283707</v>
      </c>
      <c r="G7" s="5">
        <v>1</v>
      </c>
      <c r="H7" s="5">
        <v>1.8700000000000001E-2</v>
      </c>
      <c r="I7">
        <f t="shared" si="2"/>
        <v>1.8100000000000002E-2</v>
      </c>
    </row>
    <row r="8" spans="1:9" x14ac:dyDescent="0.35">
      <c r="A8">
        <v>6</v>
      </c>
      <c r="B8" t="s">
        <v>9</v>
      </c>
      <c r="C8">
        <v>2.24E-2</v>
      </c>
      <c r="D8">
        <f t="shared" si="0"/>
        <v>2.18E-2</v>
      </c>
      <c r="E8">
        <f t="shared" si="1"/>
        <v>1.1348256116605933</v>
      </c>
      <c r="G8" s="5">
        <v>2</v>
      </c>
      <c r="H8" s="5">
        <v>3.78E-2</v>
      </c>
      <c r="I8">
        <f t="shared" si="2"/>
        <v>3.7199999999999997E-2</v>
      </c>
    </row>
    <row r="9" spans="1:9" x14ac:dyDescent="0.35">
      <c r="A9">
        <v>7</v>
      </c>
      <c r="B9" t="s">
        <v>10</v>
      </c>
      <c r="C9">
        <v>2.2499999999999999E-2</v>
      </c>
      <c r="D9">
        <f t="shared" si="0"/>
        <v>2.1899999999999999E-2</v>
      </c>
      <c r="E9">
        <f t="shared" si="1"/>
        <v>1.140031233732431</v>
      </c>
      <c r="G9" s="5">
        <v>4</v>
      </c>
      <c r="H9" s="5">
        <v>7.8E-2</v>
      </c>
      <c r="I9">
        <f t="shared" si="2"/>
        <v>7.7399999999999997E-2</v>
      </c>
    </row>
    <row r="10" spans="1:9" x14ac:dyDescent="0.35">
      <c r="A10">
        <v>8</v>
      </c>
      <c r="B10" t="s">
        <v>11</v>
      </c>
      <c r="C10">
        <v>3.7499999999999999E-2</v>
      </c>
      <c r="D10">
        <f t="shared" si="0"/>
        <v>3.6899999999999995E-2</v>
      </c>
      <c r="E10">
        <f t="shared" si="1"/>
        <v>1.9208745445080684</v>
      </c>
    </row>
    <row r="11" spans="1:9" x14ac:dyDescent="0.35">
      <c r="A11">
        <v>9</v>
      </c>
      <c r="B11" t="s">
        <v>12</v>
      </c>
      <c r="C11">
        <v>1.5299999999999999E-2</v>
      </c>
      <c r="D11">
        <f t="shared" si="0"/>
        <v>1.47E-2</v>
      </c>
      <c r="E11">
        <f t="shared" si="1"/>
        <v>0.7652264445601249</v>
      </c>
    </row>
    <row r="12" spans="1:9" x14ac:dyDescent="0.35">
      <c r="A12">
        <v>10</v>
      </c>
      <c r="B12" t="s">
        <v>13</v>
      </c>
      <c r="C12">
        <v>1.9199999999999998E-2</v>
      </c>
      <c r="D12">
        <f t="shared" si="0"/>
        <v>1.8599999999999998E-2</v>
      </c>
      <c r="E12">
        <f t="shared" si="1"/>
        <v>0.96824570536179055</v>
      </c>
    </row>
    <row r="13" spans="1:9" x14ac:dyDescent="0.35">
      <c r="A13">
        <v>11</v>
      </c>
      <c r="B13" t="s">
        <v>14</v>
      </c>
      <c r="C13">
        <v>1.72E-2</v>
      </c>
      <c r="D13">
        <f t="shared" si="0"/>
        <v>1.66E-2</v>
      </c>
      <c r="E13">
        <f t="shared" si="1"/>
        <v>0.86413326392503897</v>
      </c>
    </row>
    <row r="14" spans="1:9" x14ac:dyDescent="0.35">
      <c r="A14">
        <v>12</v>
      </c>
      <c r="B14" t="s">
        <v>15</v>
      </c>
      <c r="C14">
        <v>2.6200000000000001E-2</v>
      </c>
      <c r="D14">
        <f t="shared" si="0"/>
        <v>2.5600000000000001E-2</v>
      </c>
      <c r="E14">
        <f t="shared" si="1"/>
        <v>1.3326392503904216</v>
      </c>
      <c r="G14" s="5" t="s">
        <v>60</v>
      </c>
      <c r="H14" s="5" t="s">
        <v>3</v>
      </c>
    </row>
    <row r="15" spans="1:9" x14ac:dyDescent="0.35">
      <c r="A15">
        <v>13</v>
      </c>
      <c r="B15" t="s">
        <v>16</v>
      </c>
      <c r="C15">
        <v>1.54E-2</v>
      </c>
      <c r="D15">
        <f t="shared" si="0"/>
        <v>1.4800000000000001E-2</v>
      </c>
      <c r="E15">
        <f t="shared" si="1"/>
        <v>0.77043206663196251</v>
      </c>
      <c r="G15" s="5">
        <v>0</v>
      </c>
      <c r="H15" s="5">
        <v>8.0000000000000004E-4</v>
      </c>
      <c r="I15">
        <f t="shared" ref="I15:I20" si="3">(H15-0.0008)</f>
        <v>0</v>
      </c>
    </row>
    <row r="16" spans="1:9" x14ac:dyDescent="0.35">
      <c r="A16">
        <v>14</v>
      </c>
      <c r="B16" t="s">
        <v>17</v>
      </c>
      <c r="C16">
        <v>1.4800000000000001E-2</v>
      </c>
      <c r="D16">
        <f t="shared" si="0"/>
        <v>1.4200000000000001E-2</v>
      </c>
      <c r="E16">
        <f t="shared" si="1"/>
        <v>0.73919833420093695</v>
      </c>
      <c r="G16" s="5">
        <v>0.25</v>
      </c>
      <c r="H16" s="5">
        <v>3.5999999999999999E-3</v>
      </c>
      <c r="I16">
        <f t="shared" si="3"/>
        <v>2.8E-3</v>
      </c>
    </row>
    <row r="17" spans="1:9" x14ac:dyDescent="0.35">
      <c r="A17">
        <v>15</v>
      </c>
      <c r="B17" t="s">
        <v>18</v>
      </c>
      <c r="C17">
        <v>1.38E-2</v>
      </c>
      <c r="D17">
        <f t="shared" si="0"/>
        <v>1.32E-2</v>
      </c>
      <c r="E17">
        <f t="shared" si="1"/>
        <v>0.68714211348256116</v>
      </c>
      <c r="G17" s="5">
        <v>0.5</v>
      </c>
      <c r="H17" s="5">
        <v>8.6999999999999994E-3</v>
      </c>
      <c r="I17">
        <f t="shared" si="3"/>
        <v>7.899999999999999E-3</v>
      </c>
    </row>
    <row r="18" spans="1:9" x14ac:dyDescent="0.35">
      <c r="A18">
        <v>16</v>
      </c>
      <c r="B18" t="s">
        <v>19</v>
      </c>
      <c r="C18">
        <v>1.4500000000000001E-2</v>
      </c>
      <c r="D18">
        <f t="shared" si="0"/>
        <v>1.3900000000000001E-2</v>
      </c>
      <c r="E18">
        <f t="shared" si="1"/>
        <v>0.72358146798542422</v>
      </c>
      <c r="G18" s="5">
        <v>1</v>
      </c>
      <c r="H18" s="5">
        <v>2.0299999999999999E-2</v>
      </c>
      <c r="I18">
        <f t="shared" si="3"/>
        <v>1.95E-2</v>
      </c>
    </row>
    <row r="19" spans="1:9" x14ac:dyDescent="0.35">
      <c r="A19">
        <v>17</v>
      </c>
      <c r="B19" t="s">
        <v>20</v>
      </c>
      <c r="C19">
        <v>2.2100000000000002E-2</v>
      </c>
      <c r="D19">
        <f t="shared" si="0"/>
        <v>2.1500000000000002E-2</v>
      </c>
      <c r="E19">
        <f t="shared" si="1"/>
        <v>1.1192087454450808</v>
      </c>
      <c r="G19" s="5">
        <v>2</v>
      </c>
      <c r="H19" s="5">
        <v>4.0399999999999998E-2</v>
      </c>
      <c r="I19">
        <f t="shared" si="3"/>
        <v>3.9599999999999996E-2</v>
      </c>
    </row>
    <row r="20" spans="1:9" x14ac:dyDescent="0.35">
      <c r="A20">
        <v>18</v>
      </c>
      <c r="B20" t="s">
        <v>21</v>
      </c>
      <c r="C20">
        <v>2.0500000000000001E-2</v>
      </c>
      <c r="D20">
        <f t="shared" si="0"/>
        <v>1.9900000000000001E-2</v>
      </c>
      <c r="E20">
        <f t="shared" si="1"/>
        <v>1.0359187922956794</v>
      </c>
      <c r="G20" s="5">
        <v>4</v>
      </c>
      <c r="H20" s="5">
        <v>7.51E-2</v>
      </c>
      <c r="I20">
        <f t="shared" si="3"/>
        <v>7.4300000000000005E-2</v>
      </c>
    </row>
    <row r="21" spans="1:9" x14ac:dyDescent="0.35">
      <c r="A21">
        <v>19</v>
      </c>
      <c r="B21" t="s">
        <v>22</v>
      </c>
      <c r="C21">
        <v>2.5600000000000001E-2</v>
      </c>
      <c r="D21">
        <f t="shared" si="0"/>
        <v>2.5000000000000001E-2</v>
      </c>
      <c r="E21">
        <f t="shared" si="1"/>
        <v>1.3014055179593962</v>
      </c>
    </row>
    <row r="22" spans="1:9" x14ac:dyDescent="0.35">
      <c r="A22">
        <v>20</v>
      </c>
      <c r="B22" t="s">
        <v>23</v>
      </c>
      <c r="C22">
        <v>1.7999999999999999E-2</v>
      </c>
      <c r="D22">
        <f t="shared" si="0"/>
        <v>1.7399999999999999E-2</v>
      </c>
      <c r="E22">
        <f t="shared" si="1"/>
        <v>0.90577824049973954</v>
      </c>
    </row>
    <row r="23" spans="1:9" x14ac:dyDescent="0.35">
      <c r="A23">
        <v>21</v>
      </c>
      <c r="B23" t="s">
        <v>24</v>
      </c>
      <c r="C23">
        <v>2.0299999999999999E-2</v>
      </c>
      <c r="D23">
        <f t="shared" si="0"/>
        <v>1.9699999999999999E-2</v>
      </c>
      <c r="E23">
        <f t="shared" si="1"/>
        <v>1.025507548152004</v>
      </c>
    </row>
    <row r="24" spans="1:9" x14ac:dyDescent="0.35">
      <c r="A24">
        <v>22</v>
      </c>
      <c r="B24" t="s">
        <v>25</v>
      </c>
      <c r="C24">
        <v>1.5599999999999999E-2</v>
      </c>
      <c r="D24">
        <f t="shared" si="0"/>
        <v>1.4999999999999999E-2</v>
      </c>
      <c r="E24">
        <f t="shared" si="1"/>
        <v>0.78084331077563762</v>
      </c>
    </row>
    <row r="25" spans="1:9" x14ac:dyDescent="0.35">
      <c r="A25">
        <v>23</v>
      </c>
      <c r="B25" t="s">
        <v>26</v>
      </c>
      <c r="C25">
        <v>1.66E-2</v>
      </c>
      <c r="D25">
        <f t="shared" si="0"/>
        <v>1.6E-2</v>
      </c>
      <c r="E25">
        <f t="shared" si="1"/>
        <v>0.83289953149401352</v>
      </c>
    </row>
    <row r="26" spans="1:9" x14ac:dyDescent="0.35">
      <c r="A26">
        <v>24</v>
      </c>
      <c r="B26" t="s">
        <v>27</v>
      </c>
      <c r="C26">
        <v>1.6E-2</v>
      </c>
      <c r="D26">
        <f t="shared" si="0"/>
        <v>1.54E-2</v>
      </c>
      <c r="E26">
        <f t="shared" si="1"/>
        <v>0.80166579906298796</v>
      </c>
    </row>
    <row r="27" spans="1:9" x14ac:dyDescent="0.35">
      <c r="A27">
        <v>25</v>
      </c>
      <c r="B27" t="s">
        <v>28</v>
      </c>
      <c r="C27">
        <v>1.8700000000000001E-2</v>
      </c>
      <c r="D27">
        <f t="shared" si="0"/>
        <v>1.8100000000000002E-2</v>
      </c>
      <c r="E27">
        <f t="shared" si="1"/>
        <v>0.94221759500260283</v>
      </c>
    </row>
    <row r="28" spans="1:9" x14ac:dyDescent="0.35">
      <c r="A28">
        <v>26</v>
      </c>
      <c r="B28" t="s">
        <v>29</v>
      </c>
      <c r="C28">
        <v>2.41E-2</v>
      </c>
      <c r="D28">
        <f t="shared" si="0"/>
        <v>2.35E-2</v>
      </c>
      <c r="E28">
        <f t="shared" si="1"/>
        <v>1.2233211868818323</v>
      </c>
    </row>
    <row r="29" spans="1:9" x14ac:dyDescent="0.35">
      <c r="A29">
        <v>27</v>
      </c>
      <c r="B29" t="s">
        <v>30</v>
      </c>
      <c r="C29">
        <v>1.49E-2</v>
      </c>
      <c r="D29">
        <f t="shared" si="0"/>
        <v>1.43E-2</v>
      </c>
      <c r="E29">
        <f t="shared" si="1"/>
        <v>0.74440395627277456</v>
      </c>
    </row>
    <row r="30" spans="1:9" x14ac:dyDescent="0.35">
      <c r="A30">
        <v>28</v>
      </c>
      <c r="B30" t="s">
        <v>31</v>
      </c>
      <c r="C30">
        <v>1.12E-2</v>
      </c>
      <c r="D30">
        <f t="shared" si="0"/>
        <v>1.06E-2</v>
      </c>
      <c r="E30">
        <f t="shared" si="1"/>
        <v>0.5517959396147839</v>
      </c>
    </row>
    <row r="31" spans="1:9" x14ac:dyDescent="0.35">
      <c r="A31">
        <v>29</v>
      </c>
      <c r="B31" t="s">
        <v>32</v>
      </c>
      <c r="C31">
        <v>1.26E-2</v>
      </c>
      <c r="D31">
        <f t="shared" si="0"/>
        <v>1.2E-2</v>
      </c>
      <c r="E31">
        <f t="shared" si="1"/>
        <v>0.62467464862051014</v>
      </c>
    </row>
    <row r="32" spans="1:9" x14ac:dyDescent="0.35">
      <c r="A32">
        <v>30</v>
      </c>
      <c r="B32" t="s">
        <v>33</v>
      </c>
      <c r="C32">
        <v>1.8200000000000001E-2</v>
      </c>
      <c r="D32">
        <f t="shared" si="0"/>
        <v>1.7600000000000001E-2</v>
      </c>
      <c r="E32">
        <f t="shared" si="1"/>
        <v>0.91618948464341488</v>
      </c>
    </row>
    <row r="33" spans="1:5" x14ac:dyDescent="0.35">
      <c r="A33">
        <v>31</v>
      </c>
      <c r="B33" t="s">
        <v>34</v>
      </c>
      <c r="C33">
        <v>1.24E-2</v>
      </c>
      <c r="D33">
        <f t="shared" si="0"/>
        <v>1.18E-2</v>
      </c>
      <c r="E33">
        <f t="shared" si="1"/>
        <v>0.61426340447683492</v>
      </c>
    </row>
    <row r="34" spans="1:5" x14ac:dyDescent="0.35">
      <c r="A34">
        <v>32</v>
      </c>
      <c r="B34" t="s">
        <v>35</v>
      </c>
      <c r="C34">
        <v>2.0400000000000001E-2</v>
      </c>
      <c r="D34">
        <f t="shared" si="0"/>
        <v>1.9800000000000002E-2</v>
      </c>
      <c r="E34">
        <f t="shared" si="1"/>
        <v>1.0307131702238417</v>
      </c>
    </row>
    <row r="35" spans="1:5" x14ac:dyDescent="0.35">
      <c r="A35">
        <v>33</v>
      </c>
      <c r="B35" t="s">
        <v>36</v>
      </c>
      <c r="C35">
        <v>1.2699999999999999E-2</v>
      </c>
      <c r="D35">
        <f t="shared" si="0"/>
        <v>1.21E-2</v>
      </c>
      <c r="E35">
        <f t="shared" si="1"/>
        <v>0.62988027069234764</v>
      </c>
    </row>
    <row r="36" spans="1:5" x14ac:dyDescent="0.35">
      <c r="A36">
        <v>34</v>
      </c>
      <c r="B36" t="s">
        <v>37</v>
      </c>
      <c r="C36">
        <v>2.1299999999999999E-2</v>
      </c>
      <c r="D36">
        <f t="shared" si="0"/>
        <v>2.07E-2</v>
      </c>
      <c r="E36">
        <f t="shared" si="1"/>
        <v>1.0775637688703799</v>
      </c>
    </row>
    <row r="37" spans="1:5" x14ac:dyDescent="0.35">
      <c r="A37">
        <v>35</v>
      </c>
      <c r="B37" t="s">
        <v>38</v>
      </c>
      <c r="C37">
        <v>1.49E-2</v>
      </c>
      <c r="D37">
        <f t="shared" si="0"/>
        <v>1.43E-2</v>
      </c>
      <c r="E37">
        <f t="shared" si="1"/>
        <v>0.74440395627277456</v>
      </c>
    </row>
    <row r="38" spans="1:5" x14ac:dyDescent="0.35">
      <c r="A38">
        <v>36</v>
      </c>
      <c r="B38" t="s">
        <v>39</v>
      </c>
      <c r="C38">
        <v>1.77E-2</v>
      </c>
      <c r="D38">
        <f t="shared" si="0"/>
        <v>1.7100000000000001E-2</v>
      </c>
      <c r="E38">
        <f t="shared" si="1"/>
        <v>0.89016137428422693</v>
      </c>
    </row>
    <row r="39" spans="1:5" x14ac:dyDescent="0.35">
      <c r="A39">
        <v>37</v>
      </c>
      <c r="B39" t="s">
        <v>40</v>
      </c>
      <c r="C39">
        <v>1.1599999999999999E-2</v>
      </c>
      <c r="D39">
        <f t="shared" si="0"/>
        <v>1.0999999999999999E-2</v>
      </c>
      <c r="E39">
        <f t="shared" si="1"/>
        <v>0.57261842790213424</v>
      </c>
    </row>
    <row r="40" spans="1:5" x14ac:dyDescent="0.35">
      <c r="A40">
        <v>38</v>
      </c>
      <c r="B40" t="s">
        <v>41</v>
      </c>
      <c r="C40">
        <v>1.5100000000000001E-2</v>
      </c>
      <c r="D40">
        <f t="shared" si="0"/>
        <v>1.4500000000000001E-2</v>
      </c>
      <c r="E40">
        <f t="shared" si="1"/>
        <v>0.75481520041644978</v>
      </c>
    </row>
    <row r="41" spans="1:5" x14ac:dyDescent="0.35">
      <c r="A41">
        <v>39</v>
      </c>
      <c r="B41" t="s">
        <v>42</v>
      </c>
      <c r="C41">
        <v>1.2200000000000001E-2</v>
      </c>
      <c r="D41">
        <f t="shared" si="0"/>
        <v>1.1600000000000001E-2</v>
      </c>
      <c r="E41">
        <f t="shared" si="1"/>
        <v>0.6038521603331598</v>
      </c>
    </row>
    <row r="42" spans="1:5" x14ac:dyDescent="0.35">
      <c r="A42">
        <v>40</v>
      </c>
      <c r="B42" t="s">
        <v>43</v>
      </c>
      <c r="C42">
        <v>1.7100000000000001E-2</v>
      </c>
      <c r="D42">
        <f t="shared" si="0"/>
        <v>1.6500000000000001E-2</v>
      </c>
      <c r="E42">
        <f t="shared" si="1"/>
        <v>0.85892764185320147</v>
      </c>
    </row>
    <row r="43" spans="1:5" x14ac:dyDescent="0.35">
      <c r="A43">
        <v>41</v>
      </c>
      <c r="B43" t="s">
        <v>44</v>
      </c>
      <c r="C43">
        <v>1.44E-2</v>
      </c>
      <c r="D43" s="7">
        <f>(C43-0.0008)</f>
        <v>1.3599999999999999E-2</v>
      </c>
      <c r="E43" s="7">
        <f>(D43/0.019)</f>
        <v>0.71578947368421053</v>
      </c>
    </row>
    <row r="44" spans="1:5" x14ac:dyDescent="0.35">
      <c r="A44">
        <v>42</v>
      </c>
      <c r="B44" t="s">
        <v>45</v>
      </c>
      <c r="C44">
        <v>3.8300000000000001E-2</v>
      </c>
      <c r="D44" s="7">
        <f t="shared" ref="D44:D52" si="4">(C44-0.0008)</f>
        <v>3.7499999999999999E-2</v>
      </c>
      <c r="E44" s="7">
        <f t="shared" ref="E44:E52" si="5">(D44/0.019)</f>
        <v>1.9736842105263157</v>
      </c>
    </row>
    <row r="45" spans="1:5" x14ac:dyDescent="0.35">
      <c r="A45">
        <v>43</v>
      </c>
      <c r="B45" t="s">
        <v>46</v>
      </c>
      <c r="C45">
        <v>1.4E-3</v>
      </c>
      <c r="D45" s="7">
        <f t="shared" si="4"/>
        <v>5.9999999999999995E-4</v>
      </c>
      <c r="E45" s="7">
        <f t="shared" si="5"/>
        <v>3.1578947368421054E-2</v>
      </c>
    </row>
    <row r="46" spans="1:5" x14ac:dyDescent="0.35">
      <c r="A46">
        <v>44</v>
      </c>
      <c r="B46" t="s">
        <v>47</v>
      </c>
      <c r="C46">
        <v>3.0200000000000001E-2</v>
      </c>
      <c r="D46" s="7">
        <f t="shared" si="4"/>
        <v>2.9400000000000003E-2</v>
      </c>
      <c r="E46" s="7">
        <f t="shared" si="5"/>
        <v>1.5473684210526317</v>
      </c>
    </row>
    <row r="47" spans="1:5" x14ac:dyDescent="0.35">
      <c r="A47">
        <v>45</v>
      </c>
      <c r="B47" t="s">
        <v>48</v>
      </c>
      <c r="C47">
        <v>4.4999999999999997E-3</v>
      </c>
      <c r="D47" s="7">
        <f t="shared" si="4"/>
        <v>3.6999999999999997E-3</v>
      </c>
      <c r="E47" s="7">
        <f t="shared" si="5"/>
        <v>0.19473684210526315</v>
      </c>
    </row>
    <row r="48" spans="1:5" x14ac:dyDescent="0.35">
      <c r="A48">
        <v>46</v>
      </c>
      <c r="B48" t="s">
        <v>49</v>
      </c>
      <c r="C48">
        <v>2.4899999999999999E-2</v>
      </c>
      <c r="D48" s="7">
        <f t="shared" si="4"/>
        <v>2.41E-2</v>
      </c>
      <c r="E48" s="7">
        <f t="shared" si="5"/>
        <v>1.2684210526315789</v>
      </c>
    </row>
    <row r="49" spans="1:5" x14ac:dyDescent="0.35">
      <c r="A49">
        <v>47</v>
      </c>
      <c r="B49" t="s">
        <v>50</v>
      </c>
      <c r="C49">
        <v>3.5000000000000001E-3</v>
      </c>
      <c r="D49" s="7">
        <f t="shared" si="4"/>
        <v>2.7000000000000001E-3</v>
      </c>
      <c r="E49" s="7">
        <f t="shared" si="5"/>
        <v>0.14210526315789473</v>
      </c>
    </row>
    <row r="50" spans="1:5" x14ac:dyDescent="0.35">
      <c r="A50">
        <v>48</v>
      </c>
      <c r="B50" t="s">
        <v>51</v>
      </c>
      <c r="C50">
        <v>2.8E-3</v>
      </c>
      <c r="D50" s="7">
        <f t="shared" si="4"/>
        <v>2E-3</v>
      </c>
      <c r="E50" s="7">
        <f t="shared" si="5"/>
        <v>0.10526315789473685</v>
      </c>
    </row>
    <row r="51" spans="1:5" x14ac:dyDescent="0.35">
      <c r="A51">
        <v>49</v>
      </c>
      <c r="B51" t="s">
        <v>52</v>
      </c>
      <c r="C51">
        <v>1.1999999999999999E-3</v>
      </c>
      <c r="D51" s="7">
        <f t="shared" si="4"/>
        <v>3.9999999999999986E-4</v>
      </c>
      <c r="E51" s="7">
        <f t="shared" si="5"/>
        <v>2.1052631578947361E-2</v>
      </c>
    </row>
    <row r="52" spans="1:5" x14ac:dyDescent="0.35">
      <c r="A52">
        <v>50</v>
      </c>
      <c r="B52" t="s">
        <v>53</v>
      </c>
      <c r="C52">
        <v>1.2999999999999999E-3</v>
      </c>
      <c r="D52" s="7">
        <f t="shared" si="4"/>
        <v>4.999999999999999E-4</v>
      </c>
      <c r="E52" s="7">
        <f t="shared" si="5"/>
        <v>2.6315789473684206E-2</v>
      </c>
    </row>
    <row r="53" spans="1:5" x14ac:dyDescent="0.35">
      <c r="D53" s="7"/>
      <c r="E53" s="7"/>
    </row>
    <row r="54" spans="1:5" x14ac:dyDescent="0.35">
      <c r="D54" s="7"/>
      <c r="E54" s="7"/>
    </row>
    <row r="55" spans="1:5" x14ac:dyDescent="0.35">
      <c r="D55" s="7"/>
      <c r="E55" s="7"/>
    </row>
    <row r="56" spans="1:5" x14ac:dyDescent="0.35">
      <c r="D56" s="7"/>
      <c r="E56" s="7"/>
    </row>
    <row r="57" spans="1:5" x14ac:dyDescent="0.35">
      <c r="D57" s="7"/>
      <c r="E57" s="7"/>
    </row>
    <row r="58" spans="1:5" x14ac:dyDescent="0.35">
      <c r="D58" s="7"/>
      <c r="E58" s="7"/>
    </row>
    <row r="59" spans="1:5" x14ac:dyDescent="0.35">
      <c r="D59" s="7"/>
      <c r="E59" s="7"/>
    </row>
    <row r="60" spans="1:5" x14ac:dyDescent="0.35">
      <c r="D60" s="7"/>
      <c r="E60" s="7"/>
    </row>
    <row r="61" spans="1:5" x14ac:dyDescent="0.35">
      <c r="D61" s="7"/>
      <c r="E61" s="7"/>
    </row>
    <row r="62" spans="1:5" x14ac:dyDescent="0.35">
      <c r="D62" s="7"/>
      <c r="E62" s="7"/>
    </row>
    <row r="63" spans="1:5" x14ac:dyDescent="0.35">
      <c r="D63" s="7"/>
      <c r="E63" s="7"/>
    </row>
    <row r="64" spans="1:5" x14ac:dyDescent="0.35">
      <c r="D64" s="7"/>
      <c r="E64" s="7"/>
    </row>
    <row r="65" spans="4:5" x14ac:dyDescent="0.35">
      <c r="D65" s="7"/>
      <c r="E65" s="7"/>
    </row>
    <row r="66" spans="4:5" x14ac:dyDescent="0.35">
      <c r="D66" s="7"/>
      <c r="E66" s="7"/>
    </row>
    <row r="67" spans="4:5" x14ac:dyDescent="0.35">
      <c r="D67" s="7"/>
      <c r="E67" s="7"/>
    </row>
    <row r="68" spans="4:5" x14ac:dyDescent="0.35">
      <c r="D68" s="7"/>
      <c r="E68" s="7"/>
    </row>
    <row r="69" spans="4:5" x14ac:dyDescent="0.35">
      <c r="D69" s="7"/>
      <c r="E69" s="7"/>
    </row>
    <row r="70" spans="4:5" x14ac:dyDescent="0.35">
      <c r="D70" s="7"/>
      <c r="E70" s="7"/>
    </row>
    <row r="71" spans="4:5" x14ac:dyDescent="0.35">
      <c r="D71" s="7"/>
      <c r="E71" s="7"/>
    </row>
    <row r="72" spans="4:5" x14ac:dyDescent="0.35">
      <c r="D72" s="7"/>
      <c r="E72" s="7"/>
    </row>
    <row r="73" spans="4:5" x14ac:dyDescent="0.35">
      <c r="D73" s="7"/>
      <c r="E73" s="7"/>
    </row>
    <row r="74" spans="4:5" x14ac:dyDescent="0.35">
      <c r="D74" s="7"/>
      <c r="E74" s="7"/>
    </row>
    <row r="75" spans="4:5" x14ac:dyDescent="0.35">
      <c r="D75" s="7"/>
      <c r="E75" s="7"/>
    </row>
    <row r="76" spans="4:5" x14ac:dyDescent="0.35">
      <c r="D76" s="7"/>
      <c r="E76" s="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opLeftCell="A16" workbookViewId="0">
      <selection activeCell="E29" sqref="E29"/>
    </sheetView>
  </sheetViews>
  <sheetFormatPr defaultRowHeight="14.5" x14ac:dyDescent="0.35"/>
  <cols>
    <col min="3" max="3" width="17.54296875" customWidth="1"/>
    <col min="4" max="4" width="23.26953125" customWidth="1"/>
    <col min="5" max="5" width="17.26953125" customWidth="1"/>
  </cols>
  <sheetData>
    <row r="1" spans="1:9" x14ac:dyDescent="0.35">
      <c r="A1" t="s">
        <v>79</v>
      </c>
      <c r="B1" t="s">
        <v>80</v>
      </c>
      <c r="C1" t="s">
        <v>81</v>
      </c>
      <c r="D1" t="s">
        <v>82</v>
      </c>
      <c r="F1" t="s">
        <v>128</v>
      </c>
    </row>
    <row r="2" spans="1:9" x14ac:dyDescent="0.35">
      <c r="A2">
        <v>1</v>
      </c>
      <c r="B2" t="s">
        <v>83</v>
      </c>
      <c r="C2" t="s">
        <v>130</v>
      </c>
      <c r="D2" t="s">
        <v>84</v>
      </c>
      <c r="F2">
        <v>1</v>
      </c>
    </row>
    <row r="3" spans="1:9" x14ac:dyDescent="0.35">
      <c r="A3">
        <v>2</v>
      </c>
      <c r="B3" t="s">
        <v>85</v>
      </c>
      <c r="C3" t="s">
        <v>131</v>
      </c>
      <c r="D3" t="s">
        <v>86</v>
      </c>
      <c r="F3">
        <v>5</v>
      </c>
    </row>
    <row r="4" spans="1:9" x14ac:dyDescent="0.35">
      <c r="A4">
        <v>3</v>
      </c>
      <c r="B4" t="s">
        <v>87</v>
      </c>
      <c r="C4" t="s">
        <v>132</v>
      </c>
      <c r="D4" t="s">
        <v>88</v>
      </c>
      <c r="F4">
        <v>7</v>
      </c>
    </row>
    <row r="5" spans="1:9" x14ac:dyDescent="0.35">
      <c r="A5">
        <v>4</v>
      </c>
      <c r="B5" t="s">
        <v>89</v>
      </c>
      <c r="C5" t="s">
        <v>133</v>
      </c>
      <c r="D5" t="s">
        <v>90</v>
      </c>
      <c r="F5">
        <v>16</v>
      </c>
    </row>
    <row r="6" spans="1:9" x14ac:dyDescent="0.35">
      <c r="A6">
        <v>5</v>
      </c>
      <c r="B6" t="s">
        <v>91</v>
      </c>
      <c r="C6" t="s">
        <v>92</v>
      </c>
      <c r="D6">
        <v>53.447303499999997</v>
      </c>
      <c r="F6">
        <v>18</v>
      </c>
    </row>
    <row r="7" spans="1:9" x14ac:dyDescent="0.35">
      <c r="A7">
        <v>6</v>
      </c>
      <c r="B7" t="s">
        <v>93</v>
      </c>
      <c r="C7" t="s">
        <v>94</v>
      </c>
      <c r="D7" t="s">
        <v>95</v>
      </c>
      <c r="F7">
        <v>20</v>
      </c>
    </row>
    <row r="8" spans="1:9" x14ac:dyDescent="0.35">
      <c r="A8">
        <v>7</v>
      </c>
      <c r="B8" t="s">
        <v>96</v>
      </c>
      <c r="C8" t="s">
        <v>97</v>
      </c>
      <c r="D8">
        <v>55.764703500000003</v>
      </c>
      <c r="F8">
        <v>31</v>
      </c>
      <c r="G8" s="8" t="s">
        <v>126</v>
      </c>
      <c r="H8" s="8"/>
      <c r="I8" s="8" t="s">
        <v>127</v>
      </c>
    </row>
    <row r="9" spans="1:9" x14ac:dyDescent="0.35">
      <c r="A9">
        <v>8</v>
      </c>
      <c r="B9" t="s">
        <v>98</v>
      </c>
      <c r="C9" t="s">
        <v>99</v>
      </c>
      <c r="D9">
        <v>56.423903500000002</v>
      </c>
      <c r="F9">
        <v>33</v>
      </c>
    </row>
    <row r="10" spans="1:9" x14ac:dyDescent="0.35">
      <c r="A10">
        <v>9</v>
      </c>
      <c r="B10" t="s">
        <v>100</v>
      </c>
      <c r="C10" t="s">
        <v>101</v>
      </c>
      <c r="D10" t="s">
        <v>102</v>
      </c>
      <c r="F10">
        <v>42</v>
      </c>
    </row>
    <row r="11" spans="1:9" x14ac:dyDescent="0.35">
      <c r="A11">
        <v>10</v>
      </c>
      <c r="B11" t="s">
        <v>103</v>
      </c>
      <c r="C11" t="s">
        <v>104</v>
      </c>
      <c r="D11" t="s">
        <v>105</v>
      </c>
      <c r="F11">
        <v>4</v>
      </c>
    </row>
    <row r="12" spans="1:9" x14ac:dyDescent="0.35">
      <c r="A12">
        <v>11</v>
      </c>
      <c r="B12" t="s">
        <v>106</v>
      </c>
      <c r="C12" t="s">
        <v>107</v>
      </c>
      <c r="D12" t="s">
        <v>108</v>
      </c>
      <c r="F12">
        <v>6</v>
      </c>
    </row>
    <row r="13" spans="1:9" x14ac:dyDescent="0.35">
      <c r="A13">
        <v>12</v>
      </c>
      <c r="B13" t="s">
        <v>109</v>
      </c>
      <c r="C13">
        <v>44.776231000000003</v>
      </c>
      <c r="D13" t="s">
        <v>110</v>
      </c>
      <c r="F13">
        <v>12</v>
      </c>
    </row>
    <row r="14" spans="1:9" x14ac:dyDescent="0.35">
      <c r="A14">
        <v>13</v>
      </c>
      <c r="B14" t="s">
        <v>111</v>
      </c>
      <c r="C14">
        <v>45.529431000000002</v>
      </c>
      <c r="D14" t="s">
        <v>112</v>
      </c>
      <c r="F14">
        <v>17</v>
      </c>
    </row>
    <row r="15" spans="1:9" x14ac:dyDescent="0.35">
      <c r="A15">
        <v>14</v>
      </c>
      <c r="B15" t="s">
        <v>113</v>
      </c>
      <c r="C15" t="s">
        <v>114</v>
      </c>
      <c r="D15" t="s">
        <v>115</v>
      </c>
      <c r="F15">
        <v>19</v>
      </c>
    </row>
    <row r="16" spans="1:9" x14ac:dyDescent="0.35">
      <c r="A16">
        <v>15</v>
      </c>
      <c r="B16" t="s">
        <v>116</v>
      </c>
      <c r="C16" t="s">
        <v>117</v>
      </c>
      <c r="D16">
        <v>53.117703499999998</v>
      </c>
      <c r="F16">
        <v>26</v>
      </c>
    </row>
    <row r="17" spans="1:6" x14ac:dyDescent="0.35">
      <c r="A17">
        <v>16</v>
      </c>
      <c r="B17" t="s">
        <v>118</v>
      </c>
      <c r="C17" t="s">
        <v>119</v>
      </c>
      <c r="D17">
        <v>53.2310035</v>
      </c>
      <c r="F17">
        <v>32</v>
      </c>
    </row>
    <row r="18" spans="1:6" x14ac:dyDescent="0.35">
      <c r="A18">
        <v>17</v>
      </c>
      <c r="B18" t="s">
        <v>120</v>
      </c>
      <c r="C18" t="s">
        <v>121</v>
      </c>
      <c r="D18" t="s">
        <v>122</v>
      </c>
      <c r="F18">
        <v>38</v>
      </c>
    </row>
    <row r="19" spans="1:6" x14ac:dyDescent="0.35">
      <c r="A19">
        <v>18</v>
      </c>
      <c r="B19" t="s">
        <v>123</v>
      </c>
      <c r="C19" t="s">
        <v>121</v>
      </c>
      <c r="D19">
        <v>51.150503499999999</v>
      </c>
      <c r="F19">
        <v>43</v>
      </c>
    </row>
    <row r="20" spans="1:6" x14ac:dyDescent="0.35">
      <c r="A20">
        <v>19</v>
      </c>
      <c r="B20" t="s">
        <v>124</v>
      </c>
      <c r="C20" t="s">
        <v>125</v>
      </c>
      <c r="D20">
        <v>51.171103500000001</v>
      </c>
      <c r="F20">
        <v>44</v>
      </c>
    </row>
  </sheetData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2"/>
  <sheetViews>
    <sheetView zoomScale="112" zoomScaleNormal="112" workbookViewId="0">
      <selection activeCell="M12" sqref="M12"/>
    </sheetView>
  </sheetViews>
  <sheetFormatPr defaultColWidth="9.1796875" defaultRowHeight="12" x14ac:dyDescent="0.3"/>
  <cols>
    <col min="1" max="16384" width="9.1796875" style="9"/>
  </cols>
  <sheetData>
    <row r="1" spans="1:23" x14ac:dyDescent="0.3">
      <c r="A1" s="14" t="s">
        <v>1</v>
      </c>
      <c r="B1" s="14" t="s">
        <v>65</v>
      </c>
      <c r="C1" s="14" t="s">
        <v>66</v>
      </c>
      <c r="D1" s="14" t="s">
        <v>67</v>
      </c>
      <c r="E1" s="14" t="s">
        <v>68</v>
      </c>
      <c r="F1" s="14" t="s">
        <v>70</v>
      </c>
      <c r="G1" s="14" t="s">
        <v>72</v>
      </c>
      <c r="H1" s="14" t="s">
        <v>73</v>
      </c>
      <c r="I1" s="14" t="s">
        <v>71</v>
      </c>
      <c r="J1" s="14" t="s">
        <v>150</v>
      </c>
      <c r="K1" s="14" t="s">
        <v>149</v>
      </c>
      <c r="O1" s="9" t="s">
        <v>155</v>
      </c>
      <c r="U1" s="9" t="s">
        <v>151</v>
      </c>
    </row>
    <row r="2" spans="1:23" x14ac:dyDescent="0.3">
      <c r="A2" s="18">
        <v>9330.4830993029991</v>
      </c>
      <c r="B2" s="18">
        <v>158.1079218836129</v>
      </c>
      <c r="C2" s="18">
        <v>87.169227916879734</v>
      </c>
      <c r="D2" s="18">
        <v>34.616008264116502</v>
      </c>
      <c r="E2" s="18">
        <v>48.174242529518303</v>
      </c>
      <c r="F2" s="18">
        <v>95.487323112802287</v>
      </c>
      <c r="G2" s="18">
        <v>370.29361895943413</v>
      </c>
      <c r="H2" s="18">
        <v>137.73438980529397</v>
      </c>
      <c r="I2" s="18">
        <v>8.2056678694071739</v>
      </c>
      <c r="J2" s="18">
        <v>7.5116951887964181</v>
      </c>
      <c r="K2" s="18">
        <v>7.2142023100322037</v>
      </c>
    </row>
    <row r="3" spans="1:23" x14ac:dyDescent="0.3">
      <c r="A3" s="18">
        <v>13860.871691423679</v>
      </c>
      <c r="B3" s="18">
        <v>149.5029892439432</v>
      </c>
      <c r="C3" s="18">
        <v>143.65423051299135</v>
      </c>
      <c r="D3" s="18">
        <v>36.845004542203839</v>
      </c>
      <c r="E3" s="18">
        <v>42.999656002751976</v>
      </c>
      <c r="F3" s="18">
        <v>81.299336245851535</v>
      </c>
      <c r="G3" s="18">
        <v>458.31304205853451</v>
      </c>
      <c r="H3" s="18">
        <v>157.78318779770871</v>
      </c>
      <c r="I3" s="18">
        <v>11.216587960817613</v>
      </c>
      <c r="J3" s="18">
        <v>25.539932312201248</v>
      </c>
      <c r="K3" s="18">
        <v>25.330588604724188</v>
      </c>
      <c r="O3" s="9" t="s">
        <v>156</v>
      </c>
      <c r="U3" s="9" t="s">
        <v>152</v>
      </c>
      <c r="V3" s="9" t="s">
        <v>153</v>
      </c>
      <c r="W3" s="9" t="s">
        <v>154</v>
      </c>
    </row>
    <row r="4" spans="1:23" x14ac:dyDescent="0.3">
      <c r="A4" s="18">
        <v>12586.7502140294</v>
      </c>
      <c r="B4" s="18">
        <v>98.150568417558716</v>
      </c>
      <c r="C4" s="18">
        <v>50.576190431173849</v>
      </c>
      <c r="D4" s="18">
        <v>43.51685286120108</v>
      </c>
      <c r="E4" s="18">
        <v>37.748067445383263</v>
      </c>
      <c r="F4" s="18">
        <v>66.994988671380199</v>
      </c>
      <c r="G4" s="18">
        <v>461.19355275956372</v>
      </c>
      <c r="H4" s="18">
        <v>93.952601495699511</v>
      </c>
      <c r="I4" s="18">
        <v>11.883942833268547</v>
      </c>
      <c r="J4" s="18">
        <v>6.0675570683340112</v>
      </c>
      <c r="K4" s="18">
        <v>5.6975840763624257</v>
      </c>
      <c r="O4" s="9" t="s">
        <v>152</v>
      </c>
      <c r="P4" s="9" t="s">
        <v>153</v>
      </c>
      <c r="Q4" s="9" t="s">
        <v>154</v>
      </c>
      <c r="R4" s="9" t="s">
        <v>157</v>
      </c>
      <c r="U4" s="9" t="s">
        <v>1</v>
      </c>
      <c r="V4" s="9">
        <v>0.255</v>
      </c>
      <c r="W4" s="9">
        <v>-5.8999999999999997E-2</v>
      </c>
    </row>
    <row r="5" spans="1:23" x14ac:dyDescent="0.3">
      <c r="A5" s="18">
        <v>6893.4669929223564</v>
      </c>
      <c r="B5" s="18">
        <v>140.15953032943324</v>
      </c>
      <c r="C5" s="18">
        <v>106.35180230854313</v>
      </c>
      <c r="D5" s="18">
        <v>26.878056178977133</v>
      </c>
      <c r="E5" s="18">
        <v>29.938122456683278</v>
      </c>
      <c r="F5" s="18">
        <v>63.114970022458571</v>
      </c>
      <c r="G5" s="18">
        <v>307.72126238352837</v>
      </c>
      <c r="H5" s="18">
        <v>82.937468906548517</v>
      </c>
      <c r="I5" s="18">
        <v>20.397812325759453</v>
      </c>
      <c r="J5" s="18">
        <v>11.332042935069506</v>
      </c>
      <c r="K5" s="18">
        <v>11.120886855534049</v>
      </c>
      <c r="O5" s="9" t="s">
        <v>1</v>
      </c>
      <c r="P5" s="9">
        <v>0.94899999999999995</v>
      </c>
      <c r="Q5" s="9">
        <v>-0.104</v>
      </c>
      <c r="R5" s="9">
        <v>0.91100000000000003</v>
      </c>
      <c r="U5" s="9" t="s">
        <v>65</v>
      </c>
      <c r="V5" s="9">
        <v>-6.2E-2</v>
      </c>
      <c r="W5" s="9">
        <v>0.20200000000000001</v>
      </c>
    </row>
    <row r="6" spans="1:23" x14ac:dyDescent="0.3">
      <c r="A6" s="18">
        <v>15650.40650406504</v>
      </c>
      <c r="B6" s="18">
        <v>144.42061546840958</v>
      </c>
      <c r="C6" s="18">
        <v>90.748324646314231</v>
      </c>
      <c r="D6" s="18">
        <v>45.680225817833566</v>
      </c>
      <c r="E6" s="18">
        <v>54.14584134307318</v>
      </c>
      <c r="F6" s="18">
        <v>86.843756621518111</v>
      </c>
      <c r="G6" s="18">
        <v>515.85903299295501</v>
      </c>
      <c r="H6" s="18">
        <v>155.65830705004544</v>
      </c>
      <c r="I6" s="18">
        <v>6.8980210538080575</v>
      </c>
      <c r="J6" s="18">
        <v>21.539862335138512</v>
      </c>
      <c r="K6" s="18">
        <v>21.064218687359428</v>
      </c>
      <c r="O6" s="9" t="s">
        <v>65</v>
      </c>
      <c r="P6" s="9">
        <v>-0.14599999999999999</v>
      </c>
      <c r="Q6" s="13">
        <v>0.71899999999999997</v>
      </c>
      <c r="R6" s="9">
        <v>0.53900000000000003</v>
      </c>
      <c r="U6" s="9" t="s">
        <v>66</v>
      </c>
      <c r="V6" s="9">
        <v>-0.04</v>
      </c>
      <c r="W6" s="9">
        <v>0.24</v>
      </c>
    </row>
    <row r="7" spans="1:23" x14ac:dyDescent="0.3">
      <c r="A7" s="18">
        <v>7847.8126032973441</v>
      </c>
      <c r="B7" s="18">
        <v>157.51104004872846</v>
      </c>
      <c r="C7" s="18">
        <v>102.64209424568182</v>
      </c>
      <c r="D7" s="18">
        <v>32.882336430927715</v>
      </c>
      <c r="E7" s="18">
        <v>32.545376914280254</v>
      </c>
      <c r="F7" s="18">
        <v>56.961297077087991</v>
      </c>
      <c r="G7" s="18">
        <v>243.43721489126537</v>
      </c>
      <c r="H7" s="18">
        <v>129.60548328695674</v>
      </c>
      <c r="I7" s="18">
        <v>6.8353556492505598</v>
      </c>
      <c r="J7" s="18">
        <v>9.923736762686751</v>
      </c>
      <c r="K7" s="18">
        <v>9.7198243634534602</v>
      </c>
      <c r="O7" s="9" t="s">
        <v>66</v>
      </c>
      <c r="P7" s="9">
        <v>-4.3999999999999997E-2</v>
      </c>
      <c r="Q7" s="13">
        <v>0.86799999999999999</v>
      </c>
      <c r="R7" s="9">
        <v>0.755</v>
      </c>
      <c r="U7" s="9" t="s">
        <v>67</v>
      </c>
      <c r="V7" s="9">
        <v>0.219</v>
      </c>
      <c r="W7" s="9">
        <v>-3.4000000000000002E-2</v>
      </c>
    </row>
    <row r="8" spans="1:23" x14ac:dyDescent="0.3">
      <c r="A8" s="18">
        <v>9583.6879385834709</v>
      </c>
      <c r="B8" s="18">
        <v>284.53062543203202</v>
      </c>
      <c r="C8" s="18">
        <v>68.649572181344453</v>
      </c>
      <c r="D8" s="18">
        <v>28.509185172720468</v>
      </c>
      <c r="E8" s="18">
        <v>42.07615784570072</v>
      </c>
      <c r="F8" s="18">
        <v>68.577991501275648</v>
      </c>
      <c r="G8" s="18">
        <v>322.54186892202256</v>
      </c>
      <c r="H8" s="18">
        <v>154.18328830571153</v>
      </c>
      <c r="I8" s="18">
        <v>10.262608095858349</v>
      </c>
      <c r="J8" s="18">
        <v>12.238782874144515</v>
      </c>
      <c r="K8" s="18">
        <v>12.027769376314438</v>
      </c>
      <c r="O8" s="9" t="s">
        <v>67</v>
      </c>
      <c r="P8" s="9">
        <v>0.82499999999999996</v>
      </c>
      <c r="Q8" s="9">
        <v>-2.9000000000000001E-2</v>
      </c>
      <c r="R8" s="9">
        <v>0.68100000000000005</v>
      </c>
      <c r="U8" s="9" t="s">
        <v>68</v>
      </c>
      <c r="V8" s="9">
        <v>0.21299999999999999</v>
      </c>
      <c r="W8" s="9">
        <v>2.8000000000000001E-2</v>
      </c>
    </row>
    <row r="9" spans="1:23" x14ac:dyDescent="0.3">
      <c r="A9" s="18">
        <v>14262.184704393578</v>
      </c>
      <c r="B9" s="18">
        <v>185.92827383628574</v>
      </c>
      <c r="C9" s="18">
        <v>99.537993464297799</v>
      </c>
      <c r="D9" s="18">
        <v>42.648418229112856</v>
      </c>
      <c r="E9" s="18">
        <v>50.778336692108738</v>
      </c>
      <c r="F9" s="18">
        <v>90.536629382393315</v>
      </c>
      <c r="G9" s="18">
        <v>467.44245618404483</v>
      </c>
      <c r="H9" s="18">
        <v>259.08747565525607</v>
      </c>
      <c r="I9" s="18">
        <v>6.6310773223017838</v>
      </c>
      <c r="J9" s="18">
        <v>18.040394797045558</v>
      </c>
      <c r="K9" s="18">
        <v>17.648212301457612</v>
      </c>
      <c r="O9" s="9" t="s">
        <v>68</v>
      </c>
      <c r="P9" s="9">
        <v>0.82899999999999996</v>
      </c>
      <c r="Q9" s="9">
        <v>0.19700000000000001</v>
      </c>
      <c r="R9" s="9">
        <v>0.72599999999999998</v>
      </c>
      <c r="U9" s="9" t="s">
        <v>70</v>
      </c>
      <c r="V9" s="9">
        <v>0.193</v>
      </c>
      <c r="W9" s="9">
        <v>6.6000000000000003E-2</v>
      </c>
    </row>
    <row r="10" spans="1:23" x14ac:dyDescent="0.3">
      <c r="A10" s="18">
        <v>21596.108247709588</v>
      </c>
      <c r="B10" s="18">
        <v>58.636340585222385</v>
      </c>
      <c r="C10" s="18">
        <v>43.041441108331554</v>
      </c>
      <c r="D10" s="18">
        <v>50.451778073187938</v>
      </c>
      <c r="E10" s="18">
        <v>44.448024151087495</v>
      </c>
      <c r="F10" s="18">
        <v>73.03360342487764</v>
      </c>
      <c r="G10" s="18">
        <v>547.51854343492369</v>
      </c>
      <c r="H10" s="18">
        <v>87.314747211333284</v>
      </c>
      <c r="I10" s="18">
        <v>15.121614364037749</v>
      </c>
      <c r="J10" s="18">
        <v>5.3041768624733026</v>
      </c>
      <c r="K10" s="18">
        <v>5.0212874298080594</v>
      </c>
      <c r="O10" s="9" t="s">
        <v>70</v>
      </c>
      <c r="P10" s="9">
        <v>0.76900000000000002</v>
      </c>
      <c r="Q10" s="9">
        <v>0.33100000000000002</v>
      </c>
      <c r="R10" s="9">
        <v>0.70099999999999996</v>
      </c>
      <c r="U10" s="9" t="s">
        <v>72</v>
      </c>
      <c r="V10" s="9">
        <v>0.245</v>
      </c>
      <c r="W10" s="9">
        <v>-0.10100000000000001</v>
      </c>
    </row>
    <row r="11" spans="1:23" x14ac:dyDescent="0.3">
      <c r="A11" s="18">
        <v>17396.880220202605</v>
      </c>
      <c r="B11" s="18">
        <v>60.800843976398539</v>
      </c>
      <c r="C11" s="18">
        <v>31.482484677105987</v>
      </c>
      <c r="D11" s="18">
        <v>51.26412139343946</v>
      </c>
      <c r="E11" s="18">
        <v>39.247904703744219</v>
      </c>
      <c r="F11" s="18">
        <v>60.299993164448644</v>
      </c>
      <c r="G11" s="18">
        <v>686.48249417908983</v>
      </c>
      <c r="H11" s="18">
        <v>108.47475973132316</v>
      </c>
      <c r="I11" s="18">
        <v>4.0709978837995111</v>
      </c>
      <c r="J11" s="18">
        <v>5.7726685867514158</v>
      </c>
      <c r="K11" s="18">
        <v>5.4623100605819852</v>
      </c>
      <c r="O11" s="9" t="s">
        <v>72</v>
      </c>
      <c r="P11" s="9">
        <v>0.89400000000000002</v>
      </c>
      <c r="Q11" s="9">
        <v>-0.26200000000000001</v>
      </c>
      <c r="R11" s="9">
        <v>0.86799999999999999</v>
      </c>
      <c r="U11" s="9" t="s">
        <v>73</v>
      </c>
      <c r="V11" s="9">
        <v>4.0000000000000001E-3</v>
      </c>
      <c r="W11" s="9">
        <v>0.192</v>
      </c>
    </row>
    <row r="12" spans="1:23" x14ac:dyDescent="0.3">
      <c r="A12" s="18">
        <v>23570.513112439738</v>
      </c>
      <c r="B12" s="18">
        <v>92.385747310393896</v>
      </c>
      <c r="C12" s="18">
        <v>36.97188448565187</v>
      </c>
      <c r="D12" s="18">
        <v>61.370264289843199</v>
      </c>
      <c r="E12" s="18">
        <v>55.090943641615979</v>
      </c>
      <c r="F12" s="18">
        <v>88.413712761751711</v>
      </c>
      <c r="G12" s="18">
        <v>852.67548529185535</v>
      </c>
      <c r="H12" s="18">
        <v>115.24850145706041</v>
      </c>
      <c r="I12" s="18">
        <v>5.3214523041555877</v>
      </c>
      <c r="J12" s="18">
        <v>10.229655772083269</v>
      </c>
      <c r="K12" s="18">
        <v>9.4258971042767268</v>
      </c>
      <c r="O12" s="9" t="s">
        <v>73</v>
      </c>
      <c r="P12" s="9">
        <v>0.1</v>
      </c>
      <c r="Q12" s="13">
        <v>0.70899999999999996</v>
      </c>
      <c r="R12" s="9">
        <v>0.51300000000000001</v>
      </c>
      <c r="U12" s="9" t="s">
        <v>71</v>
      </c>
      <c r="V12" s="9">
        <v>2.5000000000000001E-2</v>
      </c>
      <c r="W12" s="9">
        <v>-5.6000000000000001E-2</v>
      </c>
    </row>
    <row r="13" spans="1:23" x14ac:dyDescent="0.3">
      <c r="A13" s="18">
        <v>10528.534835250504</v>
      </c>
      <c r="B13" s="18">
        <v>159.80885790389215</v>
      </c>
      <c r="C13" s="18">
        <v>119.21276226807699</v>
      </c>
      <c r="D13" s="18">
        <v>34.586148436203025</v>
      </c>
      <c r="E13" s="18">
        <v>42.848189504112142</v>
      </c>
      <c r="F13" s="18">
        <v>71.169109190494083</v>
      </c>
      <c r="G13" s="18">
        <v>323.13561890499363</v>
      </c>
      <c r="H13" s="18">
        <v>162.99403747436665</v>
      </c>
      <c r="I13" s="18">
        <v>15.816971409887362</v>
      </c>
      <c r="J13" s="18">
        <v>15.185518659374035</v>
      </c>
      <c r="K13" s="18">
        <v>14.916748417615201</v>
      </c>
      <c r="O13" s="9" t="s">
        <v>71</v>
      </c>
      <c r="P13" s="9">
        <v>7.0000000000000007E-2</v>
      </c>
      <c r="Q13" s="9">
        <v>-0.19700000000000001</v>
      </c>
      <c r="R13" s="9">
        <v>4.3999999999999997E-2</v>
      </c>
      <c r="U13" s="9" t="s">
        <v>150</v>
      </c>
      <c r="V13" s="9">
        <v>4.2000000000000003E-2</v>
      </c>
      <c r="W13" s="9">
        <v>0.24</v>
      </c>
    </row>
    <row r="14" spans="1:23" x14ac:dyDescent="0.3">
      <c r="A14" s="18">
        <v>6394.8727078511665</v>
      </c>
      <c r="B14" s="18">
        <v>107.71492295214921</v>
      </c>
      <c r="C14" s="18">
        <v>58.394160583941598</v>
      </c>
      <c r="D14" s="18">
        <v>23.642879927945511</v>
      </c>
      <c r="E14" s="18">
        <v>35.112828586422403</v>
      </c>
      <c r="F14" s="18">
        <v>55.214761150651348</v>
      </c>
      <c r="G14" s="18">
        <v>235.01955308025913</v>
      </c>
      <c r="H14" s="18">
        <v>112.47183454481203</v>
      </c>
      <c r="I14" s="18">
        <v>13.105921328066694</v>
      </c>
      <c r="J14" s="18">
        <v>5.7312266947803385</v>
      </c>
      <c r="K14" s="18">
        <v>5.6604708096595928</v>
      </c>
      <c r="O14" s="9" t="s">
        <v>150</v>
      </c>
      <c r="P14" s="9">
        <v>0.26900000000000002</v>
      </c>
      <c r="Q14" s="13">
        <v>0.90600000000000003</v>
      </c>
      <c r="R14" s="9">
        <v>0.89300000000000002</v>
      </c>
      <c r="U14" s="9" t="s">
        <v>149</v>
      </c>
      <c r="V14" s="9">
        <v>3.6999999999999998E-2</v>
      </c>
      <c r="W14" s="9">
        <v>0.24199999999999999</v>
      </c>
    </row>
    <row r="15" spans="1:23" x14ac:dyDescent="0.3">
      <c r="A15" s="18">
        <v>6179.5563375662241</v>
      </c>
      <c r="B15" s="18">
        <v>69.502122554448135</v>
      </c>
      <c r="C15" s="18">
        <v>37.548136711263837</v>
      </c>
      <c r="D15" s="18">
        <v>15.555932422589409</v>
      </c>
      <c r="E15" s="18">
        <v>31.020160001985285</v>
      </c>
      <c r="F15" s="18">
        <v>56.465780651992858</v>
      </c>
      <c r="G15" s="18">
        <v>264.75723982226083</v>
      </c>
      <c r="H15" s="18">
        <v>87.707443545436277</v>
      </c>
      <c r="I15" s="18">
        <v>7.143643366328229</v>
      </c>
      <c r="J15" s="18">
        <v>2.8667670035117894</v>
      </c>
      <c r="K15" s="18">
        <v>2.6278697532191404</v>
      </c>
      <c r="O15" s="9" t="s">
        <v>149</v>
      </c>
      <c r="P15" s="9">
        <v>0.252</v>
      </c>
      <c r="Q15" s="13">
        <v>0.91100000000000003</v>
      </c>
      <c r="R15" s="9">
        <v>0.89300000000000002</v>
      </c>
    </row>
    <row r="16" spans="1:23" x14ac:dyDescent="0.3">
      <c r="A16" s="18">
        <v>6336.0528526476155</v>
      </c>
      <c r="B16" s="18">
        <v>49.994092791816087</v>
      </c>
      <c r="C16" s="18">
        <v>39.269958798212585</v>
      </c>
      <c r="D16" s="18">
        <v>23.475189940012854</v>
      </c>
      <c r="E16" s="18">
        <v>39.572162782217376</v>
      </c>
      <c r="F16" s="18">
        <v>61.351083969668849</v>
      </c>
      <c r="G16" s="18">
        <v>440.24032625742228</v>
      </c>
      <c r="H16" s="18">
        <v>85.957232109402199</v>
      </c>
      <c r="I16" s="18">
        <v>4.6347550117522234</v>
      </c>
      <c r="J16" s="18">
        <v>7.3433420365535245</v>
      </c>
      <c r="K16" s="18">
        <v>6.6906005221932112</v>
      </c>
      <c r="O16" s="9" t="s">
        <v>158</v>
      </c>
      <c r="P16" s="9" t="s">
        <v>158</v>
      </c>
      <c r="Q16" s="9" t="s">
        <v>158</v>
      </c>
      <c r="R16" s="9" t="s">
        <v>158</v>
      </c>
    </row>
    <row r="17" spans="1:24" x14ac:dyDescent="0.3">
      <c r="A17" s="18">
        <v>8386.4179818268767</v>
      </c>
      <c r="B17" s="18">
        <v>83.210784313725497</v>
      </c>
      <c r="C17" s="18">
        <v>39.612807148175719</v>
      </c>
      <c r="D17" s="18">
        <v>26.009375472554066</v>
      </c>
      <c r="E17" s="18">
        <v>38.139177239523256</v>
      </c>
      <c r="F17" s="18">
        <v>63.077600117353668</v>
      </c>
      <c r="G17" s="18">
        <v>375.56617555296174</v>
      </c>
      <c r="H17" s="18">
        <v>85.127231527696964</v>
      </c>
      <c r="I17" s="18">
        <v>50.042959827322449</v>
      </c>
      <c r="J17" s="18">
        <v>5.6602629326900402</v>
      </c>
      <c r="K17" s="18">
        <v>5.1885743549658701</v>
      </c>
      <c r="O17" s="9" t="s">
        <v>159</v>
      </c>
      <c r="P17" s="9">
        <v>3.8313000000000001</v>
      </c>
      <c r="Q17" s="9">
        <v>3.6901999999999999</v>
      </c>
      <c r="R17" s="9">
        <v>7.5213999999999999</v>
      </c>
    </row>
    <row r="18" spans="1:24" x14ac:dyDescent="0.3">
      <c r="A18" s="18">
        <v>12750.444927444805</v>
      </c>
      <c r="B18" s="18">
        <v>339.79282597904745</v>
      </c>
      <c r="C18" s="18">
        <v>97.176378847991131</v>
      </c>
      <c r="D18" s="18">
        <v>60.142031906103483</v>
      </c>
      <c r="E18" s="18">
        <v>39.034345613784346</v>
      </c>
      <c r="F18" s="18">
        <v>82.089626627060383</v>
      </c>
      <c r="G18" s="18">
        <v>479.91024695380236</v>
      </c>
      <c r="H18" s="18">
        <v>131.57873800200809</v>
      </c>
      <c r="I18" s="18">
        <v>5.4866025959923004</v>
      </c>
      <c r="J18" s="18">
        <v>11.963542314980016</v>
      </c>
      <c r="K18" s="18">
        <v>11.686928619835969</v>
      </c>
      <c r="O18" s="9" t="s">
        <v>160</v>
      </c>
      <c r="P18" s="9">
        <v>0.34799999999999998</v>
      </c>
      <c r="Q18" s="9">
        <v>0.33500000000000002</v>
      </c>
      <c r="R18" s="9">
        <v>0.68400000000000005</v>
      </c>
    </row>
    <row r="19" spans="1:24" x14ac:dyDescent="0.3">
      <c r="A19" s="18">
        <v>8904.6479737909576</v>
      </c>
      <c r="B19" s="18">
        <v>102.59024020491911</v>
      </c>
      <c r="C19" s="18">
        <v>42.283424004478469</v>
      </c>
      <c r="D19" s="18">
        <v>22.374895609017447</v>
      </c>
      <c r="E19" s="18">
        <v>34.747687203164809</v>
      </c>
      <c r="F19" s="18">
        <v>56.218741157769728</v>
      </c>
      <c r="G19" s="18">
        <v>313.24068983056617</v>
      </c>
      <c r="H19" s="18">
        <v>121.84412988657721</v>
      </c>
      <c r="I19" s="18">
        <v>4.2740210669012511</v>
      </c>
      <c r="J19" s="18">
        <v>8.6074980872226483</v>
      </c>
      <c r="K19" s="18">
        <v>8.4162203519510328</v>
      </c>
    </row>
    <row r="20" spans="1:24" x14ac:dyDescent="0.3">
      <c r="A20" s="18">
        <v>8359.6456926521896</v>
      </c>
      <c r="B20" s="18">
        <v>247.39271755603414</v>
      </c>
      <c r="C20" s="18">
        <v>73.453463823033189</v>
      </c>
      <c r="D20" s="18">
        <v>29.526995978792232</v>
      </c>
      <c r="E20" s="18">
        <v>34.095156767341216</v>
      </c>
      <c r="F20" s="18">
        <v>60.171020960003268</v>
      </c>
      <c r="G20" s="18">
        <v>370.74833558186299</v>
      </c>
      <c r="H20" s="18">
        <v>155.70776716432115</v>
      </c>
      <c r="I20" s="18">
        <v>8.9084368694030811</v>
      </c>
      <c r="J20" s="18">
        <v>10.997954380485231</v>
      </c>
      <c r="K20" s="18">
        <v>10.704675597005624</v>
      </c>
    </row>
    <row r="21" spans="1:24" x14ac:dyDescent="0.3">
      <c r="A21" s="18">
        <v>9322.4662326304533</v>
      </c>
      <c r="B21" s="18">
        <v>92.295747565294391</v>
      </c>
      <c r="C21" s="18">
        <v>58.311059559231438</v>
      </c>
      <c r="D21" s="18">
        <v>28.485031595981113</v>
      </c>
      <c r="E21" s="18">
        <v>43.941879540660885</v>
      </c>
      <c r="F21" s="18">
        <v>69.857726202422214</v>
      </c>
      <c r="G21" s="18">
        <v>388.90363915609231</v>
      </c>
      <c r="H21" s="18">
        <v>112.77119528134207</v>
      </c>
      <c r="I21" s="18">
        <v>6.0765133268138705</v>
      </c>
      <c r="J21" s="18">
        <v>5.5499495459132184</v>
      </c>
      <c r="K21" s="18">
        <v>5.3337177454230931</v>
      </c>
    </row>
    <row r="22" spans="1:24" x14ac:dyDescent="0.3">
      <c r="A22" s="18">
        <v>11636.877851641655</v>
      </c>
      <c r="B22" s="18">
        <v>80.632626097769489</v>
      </c>
      <c r="C22" s="18">
        <v>44.712555816911674</v>
      </c>
      <c r="D22" s="18">
        <v>44.053629149956755</v>
      </c>
      <c r="E22" s="18">
        <v>47.850025220315835</v>
      </c>
      <c r="F22" s="18">
        <v>77.282119175520435</v>
      </c>
      <c r="G22" s="18">
        <v>604.63649111578604</v>
      </c>
      <c r="H22" s="18">
        <v>119.55089160083982</v>
      </c>
      <c r="I22" s="18">
        <v>5.7312668766082329</v>
      </c>
      <c r="J22" s="18">
        <v>7.2639225181598057</v>
      </c>
      <c r="K22" s="18">
        <v>6.7171756619542293</v>
      </c>
    </row>
    <row r="23" spans="1:24" x14ac:dyDescent="0.3">
      <c r="A23" s="18">
        <v>11675.329868052781</v>
      </c>
      <c r="B23" s="18">
        <v>64.890710382513674</v>
      </c>
      <c r="C23" s="18">
        <v>33.680782798857081</v>
      </c>
      <c r="D23" s="18">
        <v>35.983233758108383</v>
      </c>
      <c r="E23" s="18">
        <v>38.902488275680177</v>
      </c>
      <c r="F23" s="18">
        <v>64.466827886148437</v>
      </c>
      <c r="G23" s="18">
        <v>463.30765469542001</v>
      </c>
      <c r="H23" s="18">
        <v>98.467000097810541</v>
      </c>
      <c r="I23" s="18">
        <v>37.871453594441206</v>
      </c>
      <c r="J23" s="18">
        <v>4.9294554950105915</v>
      </c>
      <c r="K23" s="18">
        <v>4.5963841777801466</v>
      </c>
    </row>
    <row r="24" spans="1:24" x14ac:dyDescent="0.3">
      <c r="A24" s="18">
        <v>21405.30571768685</v>
      </c>
      <c r="B24" s="18">
        <v>77.660311252342538</v>
      </c>
      <c r="C24" s="18">
        <v>47.031303664419269</v>
      </c>
      <c r="D24" s="18">
        <v>52.783745622562336</v>
      </c>
      <c r="E24" s="18">
        <v>48.248746251535735</v>
      </c>
      <c r="F24" s="18">
        <v>80.768501625428001</v>
      </c>
      <c r="G24" s="18">
        <v>730.75459174246373</v>
      </c>
      <c r="H24" s="18">
        <v>101.79656948105763</v>
      </c>
      <c r="I24" s="18">
        <v>50.899395363948962</v>
      </c>
      <c r="J24" s="18">
        <v>7.4683748970211195</v>
      </c>
      <c r="K24" s="18">
        <v>7.0834071188241552</v>
      </c>
      <c r="O24" s="9" t="s">
        <v>155</v>
      </c>
      <c r="U24" s="9" t="s">
        <v>151</v>
      </c>
    </row>
    <row r="25" spans="1:24" x14ac:dyDescent="0.3">
      <c r="A25" s="18">
        <v>17781.49659420408</v>
      </c>
      <c r="B25" s="18">
        <v>72.553897180762846</v>
      </c>
      <c r="C25" s="18">
        <v>38.77269612639617</v>
      </c>
      <c r="D25" s="18">
        <v>49.53553988870825</v>
      </c>
      <c r="E25" s="18">
        <v>41.350170423853797</v>
      </c>
      <c r="F25" s="18">
        <v>69.67248100880937</v>
      </c>
      <c r="G25" s="18">
        <v>726.01447908898979</v>
      </c>
      <c r="H25" s="18">
        <v>89.292247612273101</v>
      </c>
      <c r="I25" s="18">
        <v>62.496909875011738</v>
      </c>
      <c r="J25" s="18">
        <v>6.3751593789844749</v>
      </c>
      <c r="K25" s="18">
        <v>6.0001500037500941</v>
      </c>
    </row>
    <row r="26" spans="1:24" x14ac:dyDescent="0.3">
      <c r="A26" s="18">
        <v>9760.9477213340379</v>
      </c>
      <c r="B26" s="18">
        <v>102.44911205015605</v>
      </c>
      <c r="C26" s="18">
        <v>56.321719731795355</v>
      </c>
      <c r="D26" s="18">
        <v>23.003973936497527</v>
      </c>
      <c r="E26" s="18">
        <v>42.240775670612933</v>
      </c>
      <c r="F26" s="18">
        <v>63.537403074466461</v>
      </c>
      <c r="G26" s="18">
        <v>492.14706688258474</v>
      </c>
      <c r="H26" s="18">
        <v>117.10385222503142</v>
      </c>
      <c r="I26" s="18">
        <v>13.06169610241645</v>
      </c>
      <c r="J26" s="18">
        <v>5.9103469450414492</v>
      </c>
      <c r="K26" s="18">
        <v>5.449800429843414</v>
      </c>
      <c r="O26" s="9" t="s">
        <v>156</v>
      </c>
      <c r="U26" s="9" t="s">
        <v>152</v>
      </c>
      <c r="V26" s="9" t="s">
        <v>153</v>
      </c>
      <c r="W26" s="9" t="s">
        <v>154</v>
      </c>
      <c r="X26" s="9" t="s">
        <v>161</v>
      </c>
    </row>
    <row r="27" spans="1:24" x14ac:dyDescent="0.3">
      <c r="A27" s="18">
        <v>10307.8177906499</v>
      </c>
      <c r="B27" s="18">
        <v>228.1536110419606</v>
      </c>
      <c r="C27" s="18">
        <v>52.624447364523554</v>
      </c>
      <c r="D27" s="18">
        <v>33.277593364447888</v>
      </c>
      <c r="E27" s="18">
        <v>35.795581198208268</v>
      </c>
      <c r="F27" s="18">
        <v>71.133675230229954</v>
      </c>
      <c r="G27" s="18">
        <v>396.72897734857719</v>
      </c>
      <c r="H27" s="18">
        <v>152.26800932061641</v>
      </c>
      <c r="I27" s="18">
        <v>9.9328477412393834</v>
      </c>
      <c r="J27" s="18">
        <v>11.554614068483309</v>
      </c>
      <c r="K27" s="18">
        <v>11.258341912881173</v>
      </c>
      <c r="O27" s="9" t="s">
        <v>152</v>
      </c>
      <c r="P27" s="9" t="s">
        <v>153</v>
      </c>
      <c r="Q27" s="9" t="s">
        <v>154</v>
      </c>
      <c r="R27" s="9" t="s">
        <v>161</v>
      </c>
      <c r="S27" s="9" t="s">
        <v>157</v>
      </c>
      <c r="U27" s="9" t="s">
        <v>1</v>
      </c>
      <c r="V27" s="9">
        <v>0.26</v>
      </c>
      <c r="W27" s="9">
        <v>-0.05</v>
      </c>
      <c r="X27" s="9">
        <v>-0.03</v>
      </c>
    </row>
    <row r="28" spans="1:24" x14ac:dyDescent="0.3">
      <c r="A28" s="18">
        <v>5557.0529841202479</v>
      </c>
      <c r="B28" s="18">
        <v>89.887530370718721</v>
      </c>
      <c r="C28" s="18">
        <v>40.031310735236779</v>
      </c>
      <c r="D28" s="18">
        <v>19.644382280888074</v>
      </c>
      <c r="E28" s="18">
        <v>29.506276999396043</v>
      </c>
      <c r="F28" s="18">
        <v>45.686786247798473</v>
      </c>
      <c r="G28" s="18">
        <v>208.92454651856141</v>
      </c>
      <c r="H28" s="18">
        <v>87.515160624591402</v>
      </c>
      <c r="I28" s="18">
        <v>7.4969607991039826</v>
      </c>
      <c r="J28" s="18">
        <v>3.452176340105475</v>
      </c>
      <c r="K28" s="18">
        <v>3.2318246588221471</v>
      </c>
      <c r="O28" s="9" t="s">
        <v>1</v>
      </c>
      <c r="P28" s="9">
        <v>0.95399999999999996</v>
      </c>
      <c r="Q28" s="9">
        <v>-5.5E-2</v>
      </c>
      <c r="R28" s="9">
        <v>1.9E-2</v>
      </c>
      <c r="S28" s="9">
        <v>0.91400000000000003</v>
      </c>
      <c r="U28" s="9" t="s">
        <v>65</v>
      </c>
      <c r="V28" s="9">
        <v>-5.7000000000000002E-2</v>
      </c>
      <c r="W28" s="9">
        <v>0.17499999999999999</v>
      </c>
      <c r="X28" s="9">
        <v>-0.23799999999999999</v>
      </c>
    </row>
    <row r="29" spans="1:24" x14ac:dyDescent="0.3">
      <c r="A29" s="18">
        <v>8193.07466682415</v>
      </c>
      <c r="B29" s="18">
        <v>78.818603712671518</v>
      </c>
      <c r="C29" s="18">
        <v>41.376773837619147</v>
      </c>
      <c r="D29" s="18">
        <v>35.168091026223564</v>
      </c>
      <c r="E29" s="18">
        <v>33.23363243602526</v>
      </c>
      <c r="F29" s="18">
        <v>68.181040538283014</v>
      </c>
      <c r="G29" s="18">
        <v>551.61573097469636</v>
      </c>
      <c r="H29" s="18">
        <v>66.803382519949622</v>
      </c>
      <c r="I29" s="18">
        <v>15.052303519996274</v>
      </c>
      <c r="J29" s="18">
        <v>6.8769107720827325</v>
      </c>
      <c r="K29" s="18">
        <v>6.2789185310320601</v>
      </c>
      <c r="O29" s="9" t="s">
        <v>65</v>
      </c>
      <c r="P29" s="9">
        <v>-0.16600000000000001</v>
      </c>
      <c r="Q29" s="9">
        <v>0.68300000000000005</v>
      </c>
      <c r="R29" s="9">
        <v>-0.30299999999999999</v>
      </c>
      <c r="S29" s="9">
        <v>0.58599999999999997</v>
      </c>
      <c r="U29" s="9" t="s">
        <v>66</v>
      </c>
      <c r="V29" s="9">
        <v>-6.3E-2</v>
      </c>
      <c r="W29" s="9">
        <v>0.253</v>
      </c>
      <c r="X29" s="9">
        <v>0.13</v>
      </c>
    </row>
    <row r="30" spans="1:24" x14ac:dyDescent="0.3">
      <c r="A30" s="18">
        <v>9990.6969218945906</v>
      </c>
      <c r="B30" s="18">
        <v>90.2399378767538</v>
      </c>
      <c r="C30" s="18">
        <v>34.936828815536543</v>
      </c>
      <c r="D30" s="18">
        <v>26.188070542135698</v>
      </c>
      <c r="E30" s="18">
        <v>42.117455052778439</v>
      </c>
      <c r="F30" s="18">
        <v>62.772469442361867</v>
      </c>
      <c r="G30" s="18">
        <v>413.47758955899457</v>
      </c>
      <c r="H30" s="18">
        <v>73.996049350925162</v>
      </c>
      <c r="I30" s="18">
        <v>5.4437973499594499</v>
      </c>
      <c r="J30" s="18">
        <v>5.8672738829478854</v>
      </c>
      <c r="K30" s="18">
        <v>5.5180313899152731</v>
      </c>
      <c r="O30" s="9" t="s">
        <v>66</v>
      </c>
      <c r="P30" s="9">
        <v>-9.9000000000000005E-2</v>
      </c>
      <c r="Q30" s="9">
        <v>0.876</v>
      </c>
      <c r="R30" s="9">
        <v>6.4000000000000001E-2</v>
      </c>
      <c r="S30" s="9">
        <v>0.78100000000000003</v>
      </c>
      <c r="U30" s="9" t="s">
        <v>67</v>
      </c>
      <c r="V30" s="9">
        <v>0.23</v>
      </c>
      <c r="W30" s="9">
        <v>-3.6999999999999998E-2</v>
      </c>
      <c r="X30" s="9">
        <v>-0.127</v>
      </c>
    </row>
    <row r="31" spans="1:24" x14ac:dyDescent="0.3">
      <c r="A31" s="18">
        <v>16474.957342166013</v>
      </c>
      <c r="B31" s="18">
        <v>118.87002743484224</v>
      </c>
      <c r="C31" s="18">
        <v>46.413502109704638</v>
      </c>
      <c r="D31" s="18">
        <v>42.844901456726653</v>
      </c>
      <c r="E31" s="18">
        <v>48.414427499394819</v>
      </c>
      <c r="F31" s="18">
        <v>77.481194134006529</v>
      </c>
      <c r="G31" s="18">
        <v>631.84362448058914</v>
      </c>
      <c r="H31" s="18">
        <v>113.10981291894009</v>
      </c>
      <c r="I31" s="18">
        <v>5.3657742768299705</v>
      </c>
      <c r="J31" s="18">
        <v>9.8684742691666791</v>
      </c>
      <c r="K31" s="18">
        <v>9.3022503356899033</v>
      </c>
      <c r="O31" s="9" t="s">
        <v>67</v>
      </c>
      <c r="P31" s="9">
        <v>0.83299999999999996</v>
      </c>
      <c r="Q31" s="9">
        <v>3.0000000000000001E-3</v>
      </c>
      <c r="R31" s="9">
        <v>-0.09</v>
      </c>
      <c r="S31" s="9">
        <v>0.70299999999999996</v>
      </c>
      <c r="U31" s="9" t="s">
        <v>68</v>
      </c>
      <c r="V31" s="9">
        <v>0.20300000000000001</v>
      </c>
      <c r="W31" s="9">
        <v>5.1999999999999998E-2</v>
      </c>
      <c r="X31" s="9">
        <v>0.129</v>
      </c>
    </row>
    <row r="32" spans="1:24" x14ac:dyDescent="0.3">
      <c r="A32" s="18">
        <v>1724.792948864068</v>
      </c>
      <c r="B32" s="18">
        <v>80.842744029075803</v>
      </c>
      <c r="C32" s="18">
        <v>33.124334555779015</v>
      </c>
      <c r="D32" s="18">
        <v>15.616365951517194</v>
      </c>
      <c r="E32" s="18">
        <v>20.768431983385256</v>
      </c>
      <c r="F32" s="18">
        <v>34.716557515867656</v>
      </c>
      <c r="G32" s="18">
        <v>353.25190024154671</v>
      </c>
      <c r="H32" s="18">
        <v>71.759743513648942</v>
      </c>
      <c r="I32" s="18">
        <v>7.6577581413622147</v>
      </c>
      <c r="J32" s="18">
        <v>3.8934104028931036</v>
      </c>
      <c r="K32" s="18">
        <v>3.6687905719569627</v>
      </c>
      <c r="O32" s="9" t="s">
        <v>68</v>
      </c>
      <c r="P32" s="9">
        <v>0.80700000000000005</v>
      </c>
      <c r="Q32" s="9">
        <v>0.25600000000000001</v>
      </c>
      <c r="R32" s="9">
        <v>0.152</v>
      </c>
      <c r="S32" s="9">
        <v>0.74</v>
      </c>
      <c r="U32" s="9" t="s">
        <v>70</v>
      </c>
      <c r="V32" s="9">
        <v>0.189</v>
      </c>
      <c r="W32" s="9">
        <v>7.6999999999999999E-2</v>
      </c>
      <c r="X32" s="9">
        <v>3.0000000000000001E-3</v>
      </c>
    </row>
    <row r="33" spans="1:26" x14ac:dyDescent="0.3">
      <c r="A33" s="18">
        <v>11447.901691804132</v>
      </c>
      <c r="B33" s="18">
        <v>139.66068653568655</v>
      </c>
      <c r="C33" s="18">
        <v>45.840235713653435</v>
      </c>
      <c r="D33" s="18">
        <v>42.37407836379559</v>
      </c>
      <c r="E33" s="18">
        <v>36.564742447095391</v>
      </c>
      <c r="F33" s="18">
        <v>75.776260314913671</v>
      </c>
      <c r="G33" s="18">
        <v>397.08201445378529</v>
      </c>
      <c r="H33" s="18">
        <v>128.71043584213808</v>
      </c>
      <c r="I33" s="18">
        <v>6.1392116967464316</v>
      </c>
      <c r="J33" s="18">
        <v>12.635887293379207</v>
      </c>
      <c r="K33" s="18">
        <v>12.429867391856719</v>
      </c>
      <c r="O33" s="9" t="s">
        <v>70</v>
      </c>
      <c r="P33" s="9">
        <v>0.75</v>
      </c>
      <c r="Q33" s="9">
        <v>0.372</v>
      </c>
      <c r="R33" s="9">
        <v>1.0999999999999999E-2</v>
      </c>
      <c r="S33" s="9">
        <v>0.70099999999999996</v>
      </c>
      <c r="U33" s="9" t="s">
        <v>72</v>
      </c>
      <c r="V33" s="9">
        <v>0.254</v>
      </c>
      <c r="W33" s="9">
        <v>-9.2999999999999999E-2</v>
      </c>
      <c r="X33" s="9">
        <v>-3.6999999999999998E-2</v>
      </c>
    </row>
    <row r="34" spans="1:26" x14ac:dyDescent="0.3">
      <c r="A34" s="18">
        <v>4207.8406732545081</v>
      </c>
      <c r="B34" s="18">
        <v>140.67785584179026</v>
      </c>
      <c r="C34" s="18">
        <v>22.529866895917944</v>
      </c>
      <c r="D34" s="18">
        <v>46.657796668332303</v>
      </c>
      <c r="E34" s="18">
        <v>23.266137055915262</v>
      </c>
      <c r="F34" s="18">
        <v>48.181653594351353</v>
      </c>
      <c r="G34" s="18">
        <v>154.46211381914225</v>
      </c>
      <c r="H34" s="18">
        <v>73.756471978026653</v>
      </c>
      <c r="I34" s="18">
        <v>9.5528992840748579</v>
      </c>
      <c r="J34" s="18">
        <v>3.7895902869885876</v>
      </c>
      <c r="K34" s="18">
        <v>3.6438368144121034</v>
      </c>
      <c r="O34" s="9" t="s">
        <v>72</v>
      </c>
      <c r="P34" s="9">
        <v>0.90800000000000003</v>
      </c>
      <c r="Q34" s="9">
        <v>-0.216</v>
      </c>
      <c r="R34" s="9">
        <v>2.1000000000000001E-2</v>
      </c>
      <c r="S34" s="9">
        <v>0.872</v>
      </c>
      <c r="U34" s="9" t="s">
        <v>73</v>
      </c>
      <c r="V34" s="9">
        <v>-6.0000000000000001E-3</v>
      </c>
      <c r="W34" s="9">
        <v>0.191</v>
      </c>
      <c r="X34" s="9">
        <v>-1.4999999999999999E-2</v>
      </c>
    </row>
    <row r="35" spans="1:26" x14ac:dyDescent="0.3">
      <c r="A35" s="18">
        <v>9984.3796591961527</v>
      </c>
      <c r="B35" s="18">
        <v>121.27897876015439</v>
      </c>
      <c r="C35" s="18">
        <v>40.892501913953559</v>
      </c>
      <c r="D35" s="18">
        <v>45.894101390372725</v>
      </c>
      <c r="E35" s="18">
        <v>33.338572251830044</v>
      </c>
      <c r="F35" s="18">
        <v>71.424951506748471</v>
      </c>
      <c r="G35" s="18">
        <v>377.24100328707408</v>
      </c>
      <c r="H35" s="18">
        <v>130.86759398474373</v>
      </c>
      <c r="I35" s="18">
        <v>6.3168356910561991</v>
      </c>
      <c r="J35" s="18">
        <v>10.232272587741738</v>
      </c>
      <c r="K35" s="18">
        <v>10.159184926400725</v>
      </c>
      <c r="O35" s="9" t="s">
        <v>73</v>
      </c>
      <c r="P35" s="9">
        <v>6.4000000000000001E-2</v>
      </c>
      <c r="Q35" s="9">
        <v>0.71</v>
      </c>
      <c r="R35" s="9">
        <v>-6.5000000000000002E-2</v>
      </c>
      <c r="S35" s="9">
        <v>0.51300000000000001</v>
      </c>
      <c r="U35" s="9" t="s">
        <v>71</v>
      </c>
      <c r="V35" s="9">
        <v>-3.7999999999999999E-2</v>
      </c>
      <c r="W35" s="9">
        <v>4.2000000000000003E-2</v>
      </c>
      <c r="X35" s="9">
        <v>0.92700000000000005</v>
      </c>
    </row>
    <row r="36" spans="1:26" x14ac:dyDescent="0.3">
      <c r="A36" s="18">
        <v>19118.684337528306</v>
      </c>
      <c r="B36" s="18">
        <v>64.963350156212442</v>
      </c>
      <c r="C36" s="18">
        <v>26.314268417706305</v>
      </c>
      <c r="D36" s="18">
        <v>58.691645831132405</v>
      </c>
      <c r="E36" s="18">
        <v>45.552146998349123</v>
      </c>
      <c r="F36" s="18">
        <v>75.414284124663894</v>
      </c>
      <c r="G36" s="18">
        <v>677.52195400570668</v>
      </c>
      <c r="H36" s="18">
        <v>89.450126925351412</v>
      </c>
      <c r="I36" s="18">
        <v>3.7243383456078103</v>
      </c>
      <c r="J36" s="18">
        <v>7.2270249435603766</v>
      </c>
      <c r="K36" s="18">
        <v>6.8828808986289296</v>
      </c>
      <c r="O36" s="9" t="s">
        <v>71</v>
      </c>
      <c r="P36" s="9">
        <v>1.2999999999999999E-2</v>
      </c>
      <c r="Q36" s="9">
        <v>-9.4E-2</v>
      </c>
      <c r="R36" s="9">
        <v>0.95899999999999996</v>
      </c>
      <c r="S36" s="9">
        <v>0.92800000000000005</v>
      </c>
      <c r="U36" s="9" t="s">
        <v>150</v>
      </c>
      <c r="V36" s="9">
        <v>2.4E-2</v>
      </c>
      <c r="W36" s="9">
        <v>0.249</v>
      </c>
      <c r="X36" s="9">
        <v>5.7000000000000002E-2</v>
      </c>
    </row>
    <row r="37" spans="1:26" x14ac:dyDescent="0.3">
      <c r="A37" s="18">
        <v>19268.01655207236</v>
      </c>
      <c r="B37" s="18">
        <v>86.805555555555557</v>
      </c>
      <c r="C37" s="18">
        <v>51.437485797112132</v>
      </c>
      <c r="D37" s="18">
        <v>52.074953007811885</v>
      </c>
      <c r="E37" s="18">
        <v>53.277011920731418</v>
      </c>
      <c r="F37" s="18">
        <v>80.917308862729158</v>
      </c>
      <c r="G37" s="18">
        <v>708.30436687883389</v>
      </c>
      <c r="H37" s="18">
        <v>107.97687703593243</v>
      </c>
      <c r="I37" s="18">
        <v>4.4077786403195578</v>
      </c>
      <c r="J37" s="18">
        <v>7.18506065446834</v>
      </c>
      <c r="K37" s="18">
        <v>6.9060291727414143</v>
      </c>
      <c r="O37" s="9" t="s">
        <v>150</v>
      </c>
      <c r="P37" s="9">
        <v>0.217</v>
      </c>
      <c r="Q37" s="9">
        <v>0.92300000000000004</v>
      </c>
      <c r="R37" s="9">
        <v>1E-3</v>
      </c>
      <c r="S37" s="9">
        <v>0.89900000000000002</v>
      </c>
      <c r="U37" s="9" t="s">
        <v>149</v>
      </c>
      <c r="V37" s="9">
        <v>0.02</v>
      </c>
      <c r="W37" s="9">
        <v>0.251</v>
      </c>
      <c r="X37" s="9">
        <v>5.6000000000000001E-2</v>
      </c>
    </row>
    <row r="38" spans="1:26" x14ac:dyDescent="0.3">
      <c r="A38" s="18">
        <v>23786.317784727253</v>
      </c>
      <c r="B38" s="18">
        <v>74.483805943722601</v>
      </c>
      <c r="C38" s="18">
        <v>28.705223730065388</v>
      </c>
      <c r="D38" s="18">
        <v>61.762201658630239</v>
      </c>
      <c r="E38" s="18">
        <v>50.954434237534194</v>
      </c>
      <c r="F38" s="18">
        <v>80.496641863511542</v>
      </c>
      <c r="G38" s="18">
        <v>774.36068815240685</v>
      </c>
      <c r="H38" s="18">
        <v>70.191030632769582</v>
      </c>
      <c r="I38" s="18">
        <v>7.9477697029796195</v>
      </c>
      <c r="J38" s="18">
        <v>7.5253295752293514</v>
      </c>
      <c r="K38" s="18">
        <v>7.183269139991654</v>
      </c>
      <c r="O38" s="9" t="s">
        <v>149</v>
      </c>
      <c r="P38" s="9">
        <v>0.2</v>
      </c>
      <c r="Q38" s="9">
        <v>0.92700000000000005</v>
      </c>
      <c r="R38" s="9">
        <v>-1E-3</v>
      </c>
      <c r="S38" s="9">
        <v>0.89900000000000002</v>
      </c>
    </row>
    <row r="39" spans="1:26" x14ac:dyDescent="0.3">
      <c r="A39" s="18">
        <v>9029.5130945537458</v>
      </c>
      <c r="B39" s="18">
        <v>127.84925979370425</v>
      </c>
      <c r="C39" s="18">
        <v>42.772511126941509</v>
      </c>
      <c r="D39" s="18">
        <v>32.767384952474927</v>
      </c>
      <c r="E39" s="18">
        <v>33.638595730098999</v>
      </c>
      <c r="F39" s="18">
        <v>59.725225976265044</v>
      </c>
      <c r="G39" s="18">
        <v>301.78833373641805</v>
      </c>
      <c r="H39" s="18">
        <v>90.766618616696704</v>
      </c>
      <c r="I39" s="18">
        <v>5.7833153665002603</v>
      </c>
      <c r="J39" s="18">
        <v>7.0062054962967197</v>
      </c>
      <c r="K39" s="18">
        <v>6.7917298178386565</v>
      </c>
      <c r="O39" s="9" t="s">
        <v>158</v>
      </c>
      <c r="P39" s="9" t="s">
        <v>158</v>
      </c>
      <c r="Q39" s="9" t="s">
        <v>158</v>
      </c>
      <c r="R39" s="9" t="s">
        <v>158</v>
      </c>
      <c r="S39" s="9" t="s">
        <v>158</v>
      </c>
    </row>
    <row r="40" spans="1:26" x14ac:dyDescent="0.3">
      <c r="A40" s="18">
        <v>16983.01109611724</v>
      </c>
      <c r="B40" s="18">
        <v>138.33521247751739</v>
      </c>
      <c r="C40" s="18">
        <v>38.687263174312875</v>
      </c>
      <c r="D40" s="18">
        <v>42.85525296710518</v>
      </c>
      <c r="E40" s="18">
        <v>34.740480713506308</v>
      </c>
      <c r="F40" s="18">
        <v>94.141307759834532</v>
      </c>
      <c r="G40" s="18">
        <v>607.25192063018392</v>
      </c>
      <c r="H40" s="18">
        <v>72.946624828842687</v>
      </c>
      <c r="I40" s="18">
        <v>3.8732423764046202</v>
      </c>
      <c r="J40" s="18">
        <v>7.9799853340810074</v>
      </c>
      <c r="K40" s="18">
        <v>7.6205265352485299</v>
      </c>
      <c r="O40" s="9" t="s">
        <v>159</v>
      </c>
      <c r="P40" s="9">
        <v>3.7725</v>
      </c>
      <c r="Q40" s="9">
        <v>3.7124000000000001</v>
      </c>
      <c r="R40" s="9">
        <v>1.0509999999999999</v>
      </c>
      <c r="S40" s="9">
        <v>8.5358999999999998</v>
      </c>
    </row>
    <row r="41" spans="1:26" x14ac:dyDescent="0.3">
      <c r="A41" s="18">
        <v>15663.459386887444</v>
      </c>
      <c r="B41" s="18">
        <v>106.15761977573904</v>
      </c>
      <c r="C41" s="18">
        <v>35.12948554174892</v>
      </c>
      <c r="D41" s="18">
        <v>45.10506827669159</v>
      </c>
      <c r="E41" s="18">
        <v>41.973976134796423</v>
      </c>
      <c r="F41" s="18">
        <v>71.257254417473121</v>
      </c>
      <c r="G41" s="18">
        <v>603.66354215683896</v>
      </c>
      <c r="H41" s="18">
        <v>98.500876359312102</v>
      </c>
      <c r="I41" s="18">
        <v>4.3305889927867094</v>
      </c>
      <c r="J41" s="18">
        <v>7.2765152385548078</v>
      </c>
      <c r="K41" s="18">
        <v>7.1233254440589171</v>
      </c>
      <c r="O41" s="9" t="s">
        <v>160</v>
      </c>
      <c r="P41" s="9">
        <v>0.34300000000000003</v>
      </c>
      <c r="Q41" s="9">
        <v>0.33700000000000002</v>
      </c>
      <c r="R41" s="9">
        <v>9.6000000000000002E-2</v>
      </c>
      <c r="S41" s="9">
        <v>0.77600000000000002</v>
      </c>
    </row>
    <row r="42" spans="1:26" x14ac:dyDescent="0.3">
      <c r="A42" s="18">
        <v>11942.488949177912</v>
      </c>
      <c r="B42" s="18">
        <v>184.36424686424687</v>
      </c>
      <c r="C42" s="18">
        <v>57.063189974582379</v>
      </c>
      <c r="D42" s="18">
        <v>39.274742097921887</v>
      </c>
      <c r="E42" s="18">
        <v>30.829357752434678</v>
      </c>
      <c r="F42" s="18">
        <v>46.575885780195776</v>
      </c>
      <c r="G42" s="18">
        <v>445.13947789876846</v>
      </c>
      <c r="H42" s="18">
        <v>89.384299910615709</v>
      </c>
      <c r="I42" s="18">
        <v>3.6966643464838409</v>
      </c>
      <c r="J42" s="18">
        <v>9.0827214581202576</v>
      </c>
      <c r="K42" s="18">
        <v>8.8537452869071416</v>
      </c>
    </row>
    <row r="43" spans="1:26" x14ac:dyDescent="0.3">
      <c r="A43" s="18">
        <v>10852.29420059575</v>
      </c>
      <c r="B43" s="18">
        <v>100.20082354529501</v>
      </c>
      <c r="C43" s="18">
        <v>36.452004860267316</v>
      </c>
      <c r="D43" s="18">
        <v>44.233487819541814</v>
      </c>
      <c r="E43" s="18">
        <v>38.523428559880564</v>
      </c>
      <c r="F43" s="18">
        <v>45.319525313220872</v>
      </c>
      <c r="G43" s="18">
        <v>424.3215378658594</v>
      </c>
      <c r="H43" s="18">
        <v>239.81582144912707</v>
      </c>
      <c r="I43" s="18">
        <v>4.6497142180365048</v>
      </c>
      <c r="J43" s="18">
        <v>6.8412951097896304</v>
      </c>
      <c r="K43" s="18">
        <v>6.249259956057835</v>
      </c>
    </row>
    <row r="44" spans="1:26" x14ac:dyDescent="0.3">
      <c r="A44" s="18">
        <v>19089.254327075647</v>
      </c>
      <c r="B44" s="18">
        <v>112.58585512976481</v>
      </c>
      <c r="C44" s="18">
        <v>32.627275247158821</v>
      </c>
      <c r="D44" s="18">
        <v>64.397349269530693</v>
      </c>
      <c r="E44" s="18">
        <v>42.383852830933122</v>
      </c>
      <c r="F44" s="18">
        <v>67.116682446964589</v>
      </c>
      <c r="G44" s="18">
        <v>783.87053176075642</v>
      </c>
      <c r="H44" s="18">
        <v>144.66480983480599</v>
      </c>
      <c r="I44" s="18">
        <v>4.1997154075206202</v>
      </c>
      <c r="J44" s="18">
        <v>9.2741131875916309</v>
      </c>
      <c r="K44" s="18">
        <v>8.7479223684374965</v>
      </c>
    </row>
    <row r="45" spans="1:26" x14ac:dyDescent="0.3">
      <c r="A45" s="18">
        <v>5803.2812297347673</v>
      </c>
      <c r="B45" s="18">
        <v>123.69311491531128</v>
      </c>
      <c r="C45" s="18">
        <v>37.589939458085738</v>
      </c>
      <c r="D45" s="18">
        <v>47.297269626679771</v>
      </c>
      <c r="E45" s="18">
        <v>46.606253663433115</v>
      </c>
      <c r="F45" s="18">
        <v>51.88116019401334</v>
      </c>
      <c r="G45" s="18">
        <v>201.00305197424731</v>
      </c>
      <c r="H45" s="18">
        <v>180.19895435572747</v>
      </c>
      <c r="I45" s="18">
        <v>36.450027936613097</v>
      </c>
      <c r="J45" s="18">
        <v>11.18117164014957</v>
      </c>
      <c r="K45" s="18">
        <v>10.997873744409413</v>
      </c>
      <c r="O45" s="9" t="s">
        <v>155</v>
      </c>
      <c r="V45" s="9" t="s">
        <v>151</v>
      </c>
    </row>
    <row r="47" spans="1:26" x14ac:dyDescent="0.3">
      <c r="O47" s="9" t="s">
        <v>156</v>
      </c>
      <c r="V47" s="9" t="s">
        <v>152</v>
      </c>
      <c r="W47" s="9" t="s">
        <v>153</v>
      </c>
      <c r="X47" s="9" t="s">
        <v>154</v>
      </c>
      <c r="Y47" s="9" t="s">
        <v>161</v>
      </c>
      <c r="Z47" s="9" t="s">
        <v>162</v>
      </c>
    </row>
    <row r="48" spans="1:26" x14ac:dyDescent="0.3">
      <c r="O48" s="9" t="s">
        <v>152</v>
      </c>
      <c r="P48" s="9" t="s">
        <v>153</v>
      </c>
      <c r="Q48" s="9" t="s">
        <v>154</v>
      </c>
      <c r="R48" s="9" t="s">
        <v>161</v>
      </c>
      <c r="S48" s="9" t="s">
        <v>162</v>
      </c>
      <c r="T48" s="9" t="s">
        <v>157</v>
      </c>
      <c r="V48" s="9" t="s">
        <v>1</v>
      </c>
      <c r="W48" s="9">
        <v>0.26100000000000001</v>
      </c>
      <c r="X48" s="9">
        <v>-3.2000000000000001E-2</v>
      </c>
      <c r="Y48" s="9">
        <v>-3.2000000000000001E-2</v>
      </c>
      <c r="Z48" s="9">
        <v>-4.7E-2</v>
      </c>
    </row>
    <row r="49" spans="15:26" x14ac:dyDescent="0.3">
      <c r="O49" s="9" t="s">
        <v>1</v>
      </c>
      <c r="P49" s="9">
        <v>0.95499999999999996</v>
      </c>
      <c r="Q49" s="9">
        <v>-2.1999999999999999E-2</v>
      </c>
      <c r="R49" s="9">
        <v>1.6E-2</v>
      </c>
      <c r="S49" s="9">
        <v>-4.8000000000000001E-2</v>
      </c>
      <c r="T49" s="9">
        <v>0.91400000000000003</v>
      </c>
      <c r="V49" s="9" t="s">
        <v>65</v>
      </c>
      <c r="W49" s="9">
        <v>-5.8999999999999997E-2</v>
      </c>
      <c r="X49" s="9">
        <v>0.126</v>
      </c>
      <c r="Y49" s="9">
        <v>-0.23300000000000001</v>
      </c>
      <c r="Z49" s="9">
        <v>0.154</v>
      </c>
    </row>
    <row r="50" spans="15:26" x14ac:dyDescent="0.3">
      <c r="O50" s="9" t="s">
        <v>65</v>
      </c>
      <c r="P50" s="9">
        <v>-0.17799999999999999</v>
      </c>
      <c r="Q50" s="9">
        <v>0.60899999999999999</v>
      </c>
      <c r="R50" s="9">
        <v>-0.309</v>
      </c>
      <c r="S50" s="9">
        <v>0.30199999999999999</v>
      </c>
      <c r="T50" s="9">
        <v>0.58899999999999997</v>
      </c>
      <c r="V50" s="9" t="s">
        <v>66</v>
      </c>
      <c r="W50" s="9">
        <v>-7.2999999999999995E-2</v>
      </c>
      <c r="X50" s="9">
        <v>0.377</v>
      </c>
      <c r="Y50" s="9">
        <v>8.6999999999999994E-2</v>
      </c>
      <c r="Z50" s="9">
        <v>-0.318</v>
      </c>
    </row>
    <row r="51" spans="15:26" x14ac:dyDescent="0.3">
      <c r="O51" s="9" t="s">
        <v>66</v>
      </c>
      <c r="P51" s="9">
        <v>-0.11899999999999999</v>
      </c>
      <c r="Q51" s="9">
        <v>0.92200000000000004</v>
      </c>
      <c r="R51" s="9">
        <v>2.1000000000000001E-2</v>
      </c>
      <c r="S51" s="9">
        <v>6.0000000000000001E-3</v>
      </c>
      <c r="T51" s="9">
        <v>0.86499999999999999</v>
      </c>
      <c r="V51" s="9" t="s">
        <v>67</v>
      </c>
      <c r="W51" s="9">
        <v>0.23599999999999999</v>
      </c>
      <c r="X51" s="9">
        <v>-0.156</v>
      </c>
      <c r="Y51" s="9">
        <v>-9.2999999999999999E-2</v>
      </c>
      <c r="Z51" s="9">
        <v>0.34899999999999998</v>
      </c>
    </row>
    <row r="52" spans="15:26" x14ac:dyDescent="0.3">
      <c r="O52" s="9" t="s">
        <v>67</v>
      </c>
      <c r="P52" s="9">
        <v>0.83699999999999997</v>
      </c>
      <c r="Q52" s="9">
        <v>-6.7000000000000004E-2</v>
      </c>
      <c r="R52" s="9">
        <v>-6.8000000000000005E-2</v>
      </c>
      <c r="S52" s="9">
        <v>0.25</v>
      </c>
      <c r="T52" s="9">
        <v>0.77200000000000002</v>
      </c>
      <c r="V52" s="9" t="s">
        <v>68</v>
      </c>
      <c r="W52" s="9">
        <v>0.20300000000000001</v>
      </c>
      <c r="X52" s="9">
        <v>1.6E-2</v>
      </c>
      <c r="Y52" s="9">
        <v>0.13900000000000001</v>
      </c>
      <c r="Z52" s="9">
        <v>0.13300000000000001</v>
      </c>
    </row>
    <row r="53" spans="15:26" x14ac:dyDescent="0.3">
      <c r="O53" s="9" t="s">
        <v>68</v>
      </c>
      <c r="P53" s="9">
        <v>0.80300000000000005</v>
      </c>
      <c r="Q53" s="9">
        <v>0.23699999999999999</v>
      </c>
      <c r="R53" s="9">
        <v>0.153</v>
      </c>
      <c r="S53" s="9">
        <v>0.155</v>
      </c>
      <c r="T53" s="9">
        <v>0.749</v>
      </c>
      <c r="V53" s="9" t="s">
        <v>70</v>
      </c>
      <c r="W53" s="9">
        <v>0.18099999999999999</v>
      </c>
      <c r="X53" s="9">
        <v>0.22700000000000001</v>
      </c>
      <c r="Y53" s="9">
        <v>-4.1000000000000002E-2</v>
      </c>
      <c r="Z53" s="9">
        <v>-0.41699999999999998</v>
      </c>
    </row>
    <row r="54" spans="15:26" x14ac:dyDescent="0.3">
      <c r="O54" s="9" t="s">
        <v>70</v>
      </c>
      <c r="P54" s="9">
        <v>0.73799999999999999</v>
      </c>
      <c r="Q54" s="9">
        <v>0.47499999999999998</v>
      </c>
      <c r="R54" s="9">
        <v>-2.7E-2</v>
      </c>
      <c r="S54" s="9">
        <v>-0.19400000000000001</v>
      </c>
      <c r="T54" s="9">
        <v>0.80900000000000005</v>
      </c>
      <c r="V54" s="9" t="s">
        <v>72</v>
      </c>
      <c r="W54" s="9">
        <v>0.254</v>
      </c>
      <c r="X54" s="9">
        <v>-5.6000000000000001E-2</v>
      </c>
      <c r="Y54" s="9">
        <v>-4.3999999999999997E-2</v>
      </c>
      <c r="Z54" s="9">
        <v>-0.111</v>
      </c>
    </row>
    <row r="55" spans="15:26" x14ac:dyDescent="0.3">
      <c r="O55" s="9" t="s">
        <v>72</v>
      </c>
      <c r="P55" s="9">
        <v>0.91100000000000003</v>
      </c>
      <c r="Q55" s="9">
        <v>-0.16300000000000001</v>
      </c>
      <c r="R55" s="9">
        <v>1.7999999999999999E-2</v>
      </c>
      <c r="S55" s="9">
        <v>-0.13500000000000001</v>
      </c>
      <c r="T55" s="9">
        <v>0.876</v>
      </c>
      <c r="V55" s="9" t="s">
        <v>73</v>
      </c>
      <c r="W55" s="9">
        <v>2E-3</v>
      </c>
      <c r="X55" s="9">
        <v>-0.112</v>
      </c>
      <c r="Y55" s="9">
        <v>6.2E-2</v>
      </c>
      <c r="Z55" s="9">
        <v>0.91500000000000004</v>
      </c>
    </row>
    <row r="56" spans="15:26" x14ac:dyDescent="0.3">
      <c r="O56" s="9" t="s">
        <v>73</v>
      </c>
      <c r="P56" s="9">
        <v>5.8999999999999997E-2</v>
      </c>
      <c r="Q56" s="9">
        <v>0.46500000000000002</v>
      </c>
      <c r="R56" s="9">
        <v>-2.1999999999999999E-2</v>
      </c>
      <c r="S56" s="9">
        <v>0.83399999999999996</v>
      </c>
      <c r="T56" s="9">
        <v>0.91500000000000004</v>
      </c>
      <c r="V56" s="9" t="s">
        <v>71</v>
      </c>
      <c r="W56" s="9">
        <v>-3.5999999999999997E-2</v>
      </c>
      <c r="X56" s="9">
        <v>3.9E-2</v>
      </c>
      <c r="Y56" s="9">
        <v>0.93500000000000005</v>
      </c>
      <c r="Z56" s="9">
        <v>7.0000000000000007E-2</v>
      </c>
    </row>
    <row r="57" spans="15:26" x14ac:dyDescent="0.3">
      <c r="O57" s="9" t="s">
        <v>71</v>
      </c>
      <c r="P57" s="9">
        <v>1.7000000000000001E-2</v>
      </c>
      <c r="Q57" s="9">
        <v>-7.3999999999999996E-2</v>
      </c>
      <c r="R57" s="9">
        <v>0.96499999999999997</v>
      </c>
      <c r="S57" s="9">
        <v>-1.4999999999999999E-2</v>
      </c>
      <c r="T57" s="9">
        <v>0.93700000000000006</v>
      </c>
      <c r="V57" s="9" t="s">
        <v>150</v>
      </c>
      <c r="W57" s="9">
        <v>1.7999999999999999E-2</v>
      </c>
      <c r="X57" s="9">
        <v>0.27400000000000002</v>
      </c>
      <c r="Y57" s="9">
        <v>4.2000000000000003E-2</v>
      </c>
      <c r="Z57" s="9">
        <v>-2.5999999999999999E-2</v>
      </c>
    </row>
    <row r="58" spans="15:26" x14ac:dyDescent="0.3">
      <c r="O58" s="9" t="s">
        <v>150</v>
      </c>
      <c r="P58" s="9">
        <v>0.19800000000000001</v>
      </c>
      <c r="Q58" s="9">
        <v>0.90200000000000002</v>
      </c>
      <c r="R58" s="9">
        <v>-2.5000000000000001E-2</v>
      </c>
      <c r="S58" s="9">
        <v>0.22700000000000001</v>
      </c>
      <c r="T58" s="9">
        <v>0.90500000000000003</v>
      </c>
      <c r="V58" s="9" t="s">
        <v>149</v>
      </c>
      <c r="W58" s="9">
        <v>1.2999999999999999E-2</v>
      </c>
      <c r="X58" s="9">
        <v>0.27700000000000002</v>
      </c>
      <c r="Y58" s="9">
        <v>0.04</v>
      </c>
      <c r="Z58" s="9">
        <v>-2.9000000000000001E-2</v>
      </c>
    </row>
    <row r="59" spans="15:26" x14ac:dyDescent="0.3">
      <c r="O59" s="9" t="s">
        <v>149</v>
      </c>
      <c r="P59" s="9">
        <v>0.18099999999999999</v>
      </c>
      <c r="Q59" s="9">
        <v>0.90600000000000003</v>
      </c>
      <c r="R59" s="9">
        <v>-2.7E-2</v>
      </c>
      <c r="S59" s="9">
        <v>0.22600000000000001</v>
      </c>
      <c r="T59" s="9">
        <v>0.90600000000000003</v>
      </c>
    </row>
    <row r="60" spans="15:26" x14ac:dyDescent="0.3">
      <c r="O60" s="9" t="s">
        <v>158</v>
      </c>
      <c r="P60" s="9" t="s">
        <v>158</v>
      </c>
      <c r="Q60" s="9" t="s">
        <v>158</v>
      </c>
      <c r="R60" s="9" t="s">
        <v>158</v>
      </c>
      <c r="S60" s="9" t="s">
        <v>158</v>
      </c>
      <c r="T60" s="9" t="s">
        <v>158</v>
      </c>
    </row>
    <row r="61" spans="15:26" x14ac:dyDescent="0.3">
      <c r="O61" s="9" t="s">
        <v>159</v>
      </c>
      <c r="P61" s="9">
        <v>3.7536</v>
      </c>
      <c r="Q61" s="9">
        <v>3.3917999999999999</v>
      </c>
      <c r="R61" s="9">
        <v>1.0585</v>
      </c>
      <c r="S61" s="9">
        <v>1.034</v>
      </c>
      <c r="T61" s="9">
        <v>9.2378999999999998</v>
      </c>
    </row>
    <row r="62" spans="15:26" x14ac:dyDescent="0.3">
      <c r="O62" s="9" t="s">
        <v>160</v>
      </c>
      <c r="P62" s="9">
        <v>0.34100000000000003</v>
      </c>
      <c r="Q62" s="9">
        <v>0.308</v>
      </c>
      <c r="R62" s="9">
        <v>9.6000000000000002E-2</v>
      </c>
      <c r="S62" s="9">
        <v>9.4E-2</v>
      </c>
      <c r="T62" s="9">
        <v>0.84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Enrichment Factor</vt:lpstr>
      <vt:lpstr>dist</vt:lpstr>
      <vt:lpstr>colration x</vt:lpstr>
      <vt:lpstr>Fe</vt:lpstr>
      <vt:lpstr>zn</vt:lpstr>
      <vt:lpstr>cu</vt:lpstr>
      <vt:lpstr>cr</vt:lpstr>
      <vt:lpstr>Co</vt:lpstr>
      <vt:lpstr>ni</vt:lpstr>
      <vt:lpstr>Cd</vt:lpstr>
      <vt:lpstr>Mn</vt:lpstr>
      <vt:lpstr>Pb</vt:lpstr>
      <vt:lpstr>LOCATION</vt:lpstr>
      <vt:lpstr>Factor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</dc:creator>
  <cp:lastModifiedBy>yucc</cp:lastModifiedBy>
  <dcterms:created xsi:type="dcterms:W3CDTF">2021-06-30T08:02:52Z</dcterms:created>
  <dcterms:modified xsi:type="dcterms:W3CDTF">2026-09-18T21:56:30Z</dcterms:modified>
</cp:coreProperties>
</file>